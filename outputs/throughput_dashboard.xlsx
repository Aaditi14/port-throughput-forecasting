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nnual Summary" sheetId="2" state="visible" r:id="rId2"/>
    <sheet name="Seasonality" sheetId="3" state="visible" r:id="rId3"/>
    <sheet name="Raw Data" sheetId="4" state="visible" r:id="rId4"/>
    <sheet name="COVID 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4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Total TEU Volume (2015–2024)</a:t>
            </a:r>
          </a:p>
        </rich>
      </tx>
    </title>
    <plotArea>
      <lineChart>
        <grouping val="standard"/>
        <ser>
          <idx val="0"/>
          <order val="0"/>
          <tx>
            <strRef>
              <f>'Annual Summary'!B2</f>
            </strRef>
          </tx>
          <spPr>
            <a:ln w="2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Summary'!$A$3:$A$12</f>
            </numRef>
          </cat>
          <val>
            <numRef>
              <f>'Annual Summary'!$B$3:$B$12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TEU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Year-over-Year Growth Rate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Summary'!G2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'Annual Summary'!$A$3:$A$12</f>
            </numRef>
          </cat>
          <val>
            <numRef>
              <f>'Annual Summary'!$G$3:$G$12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Monthly TEU Volume (Seasonality)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'Seasonality'!C2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'Seasonality'!$B$3:$B$14</f>
            </numRef>
          </cat>
          <val>
            <numRef>
              <f>'Seasonality'!$C$3:$C$14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TEU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2019 vs 2020 Monthly TEU — COVID Impact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'COVID Impact'!C2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'COVID Impact'!$B$3:$B$14</f>
            </numRef>
          </cat>
          <val>
            <numRef>
              <f>'COVID Impact'!$C$3:$C$14</f>
            </numRef>
          </val>
        </ser>
        <ser>
          <idx val="1"/>
          <order val="1"/>
          <tx>
            <strRef>
              <f>'COVID Impact'!D2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'COVID Impact'!$B$3:$B$14</f>
            </numRef>
          </cat>
          <val>
            <numRef>
              <f>'COVID Impact'!$D$3:$D$14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TEU 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13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9"/>
  <sheetViews>
    <sheetView showGridLines="0" workbookViewId="0">
      <selection activeCell="A1" sqref="A1"/>
    </sheetView>
  </sheetViews>
  <sheetFormatPr baseColWidth="8" defaultRowHeight="15"/>
  <sheetData>
    <row r="2" ht="35" customHeight="1">
      <c r="B2" s="1" t="inlineStr">
        <is>
          <t>JNPT Container Throughput Analysis Dashboard</t>
        </is>
      </c>
    </row>
    <row r="3"/>
    <row r="4" ht="22" customHeight="1">
      <c r="B4" s="2" t="inlineStr">
        <is>
          <t>Period: Jan 2015 – Dec 2024  |  Scale: ~1.5M – 2.1M TEUs/year  |  GTI – APM Terminals Mumbai</t>
        </is>
      </c>
    </row>
    <row r="6">
      <c r="B6" s="3" t="inlineStr">
        <is>
          <t>Total Records</t>
        </is>
      </c>
      <c r="D6" s="3" t="inlineStr">
        <is>
          <t>Period Covered</t>
        </is>
      </c>
      <c r="F6" s="3" t="inlineStr">
        <is>
          <t>Peak Annual TEU</t>
        </is>
      </c>
      <c r="H6" s="3" t="inlineStr">
        <is>
          <t>Avg YoY Growth</t>
        </is>
      </c>
    </row>
    <row r="7"/>
    <row r="8">
      <c r="B8" s="4" t="inlineStr">
        <is>
          <t>120 Months</t>
        </is>
      </c>
      <c r="D8" s="4" t="inlineStr">
        <is>
          <t>2015 – 2024</t>
        </is>
      </c>
      <c r="F8" s="4" t="inlineStr">
        <is>
          <t>2.08M (2024)</t>
        </is>
      </c>
      <c r="H8" s="4" t="inlineStr">
        <is>
          <t>~3.7%</t>
        </is>
      </c>
    </row>
    <row r="9"/>
  </sheetData>
  <mergeCells count="10">
    <mergeCell ref="H8:H9"/>
    <mergeCell ref="F8:F9"/>
    <mergeCell ref="B4:H4"/>
    <mergeCell ref="H6:H7"/>
    <mergeCell ref="D8:D9"/>
    <mergeCell ref="B8:B9"/>
    <mergeCell ref="B2:H3"/>
    <mergeCell ref="D6:D7"/>
    <mergeCell ref="B6:B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 ht="28" customHeight="1">
      <c r="A1" s="5" t="inlineStr">
        <is>
          <t>Annual Throughput Summary (TEUs)</t>
        </is>
      </c>
    </row>
    <row r="2">
      <c r="A2" s="6" t="inlineStr">
        <is>
          <t>Year</t>
        </is>
      </c>
      <c r="B2" s="6" t="inlineStr">
        <is>
          <t>Total Teu</t>
        </is>
      </c>
      <c r="C2" s="6" t="inlineStr">
        <is>
          <t>Avg Monthly</t>
        </is>
      </c>
      <c r="D2" s="6" t="inlineStr">
        <is>
          <t>Min Monthly</t>
        </is>
      </c>
      <c r="E2" s="6" t="inlineStr">
        <is>
          <t>Max Monthly</t>
        </is>
      </c>
      <c r="F2" s="6" t="inlineStr">
        <is>
          <t>Total Teu M</t>
        </is>
      </c>
      <c r="G2" s="6" t="inlineStr">
        <is>
          <t>Yoy Growth Pct</t>
        </is>
      </c>
    </row>
    <row r="3">
      <c r="A3" s="7" t="n">
        <v>2015</v>
      </c>
      <c r="B3" s="7" t="n">
        <v>1510875</v>
      </c>
      <c r="C3" s="7" t="n">
        <v>125906</v>
      </c>
      <c r="D3" s="7" t="n">
        <v>111735</v>
      </c>
      <c r="E3" s="7" t="n">
        <v>136950</v>
      </c>
      <c r="F3" s="7" t="n">
        <v>1.511</v>
      </c>
      <c r="G3" s="7" t="n">
        <v/>
      </c>
    </row>
    <row r="4">
      <c r="A4" s="8" t="n">
        <v>2016</v>
      </c>
      <c r="B4" s="8" t="n">
        <v>1527102</v>
      </c>
      <c r="C4" s="8" t="n">
        <v>127258</v>
      </c>
      <c r="D4" s="8" t="n">
        <v>109680</v>
      </c>
      <c r="E4" s="8" t="n">
        <v>144503</v>
      </c>
      <c r="F4" s="8" t="n">
        <v>1.527</v>
      </c>
      <c r="G4" s="8" t="n">
        <v>1.07</v>
      </c>
    </row>
    <row r="5">
      <c r="A5" s="7" t="n">
        <v>2017</v>
      </c>
      <c r="B5" s="7" t="n">
        <v>1612723</v>
      </c>
      <c r="C5" s="7" t="n">
        <v>134394</v>
      </c>
      <c r="D5" s="7" t="n">
        <v>117739</v>
      </c>
      <c r="E5" s="7" t="n">
        <v>149642</v>
      </c>
      <c r="F5" s="7" t="n">
        <v>1.613</v>
      </c>
      <c r="G5" s="7" t="n">
        <v>5.61</v>
      </c>
    </row>
    <row r="6">
      <c r="A6" s="8" t="n">
        <v>2018</v>
      </c>
      <c r="B6" s="8" t="n">
        <v>1669339</v>
      </c>
      <c r="C6" s="8" t="n">
        <v>139112</v>
      </c>
      <c r="D6" s="8" t="n">
        <v>120160</v>
      </c>
      <c r="E6" s="8" t="n">
        <v>147303</v>
      </c>
      <c r="F6" s="8" t="n">
        <v>1.669</v>
      </c>
      <c r="G6" s="8" t="n">
        <v>3.51</v>
      </c>
    </row>
    <row r="7">
      <c r="A7" s="7" t="n">
        <v>2019</v>
      </c>
      <c r="B7" s="7" t="n">
        <v>1754021</v>
      </c>
      <c r="C7" s="7" t="n">
        <v>146168</v>
      </c>
      <c r="D7" s="7" t="n">
        <v>126390</v>
      </c>
      <c r="E7" s="7" t="n">
        <v>156187</v>
      </c>
      <c r="F7" s="7" t="n">
        <v>1.754</v>
      </c>
      <c r="G7" s="7" t="n">
        <v>5.07</v>
      </c>
    </row>
    <row r="8">
      <c r="A8" s="8" t="n">
        <v>2020</v>
      </c>
      <c r="B8" s="8" t="n">
        <v>1753438</v>
      </c>
      <c r="C8" s="8" t="n">
        <v>146120</v>
      </c>
      <c r="D8" s="8" t="n">
        <v>120676</v>
      </c>
      <c r="E8" s="8" t="n">
        <v>161856</v>
      </c>
      <c r="F8" s="8" t="n">
        <v>1.753</v>
      </c>
      <c r="G8" s="8" t="n">
        <v>-0.03</v>
      </c>
    </row>
    <row r="9">
      <c r="A9" s="7" t="n">
        <v>2021</v>
      </c>
      <c r="B9" s="7" t="n">
        <v>1873944</v>
      </c>
      <c r="C9" s="7" t="n">
        <v>156162</v>
      </c>
      <c r="D9" s="7" t="n">
        <v>138169</v>
      </c>
      <c r="E9" s="7" t="n">
        <v>170672</v>
      </c>
      <c r="F9" s="7" t="n">
        <v>1.874</v>
      </c>
      <c r="G9" s="7" t="n">
        <v>6.87</v>
      </c>
    </row>
    <row r="10">
      <c r="A10" s="8" t="n">
        <v>2022</v>
      </c>
      <c r="B10" s="8" t="n">
        <v>1935276</v>
      </c>
      <c r="C10" s="8" t="n">
        <v>161273</v>
      </c>
      <c r="D10" s="8" t="n">
        <v>143274</v>
      </c>
      <c r="E10" s="8" t="n">
        <v>172388</v>
      </c>
      <c r="F10" s="8" t="n">
        <v>1.935</v>
      </c>
      <c r="G10" s="8" t="n">
        <v>3.27</v>
      </c>
    </row>
    <row r="11">
      <c r="A11" s="7" t="n">
        <v>2023</v>
      </c>
      <c r="B11" s="7" t="n">
        <v>2006397</v>
      </c>
      <c r="C11" s="7" t="n">
        <v>167200</v>
      </c>
      <c r="D11" s="7" t="n">
        <v>153589</v>
      </c>
      <c r="E11" s="7" t="n">
        <v>183198</v>
      </c>
      <c r="F11" s="7" t="n">
        <v>2.006</v>
      </c>
      <c r="G11" s="7" t="n">
        <v>3.67</v>
      </c>
    </row>
    <row r="12">
      <c r="A12" s="8" t="n">
        <v>2024</v>
      </c>
      <c r="B12" s="8" t="n">
        <v>2079132</v>
      </c>
      <c r="C12" s="8" t="n">
        <v>173261</v>
      </c>
      <c r="D12" s="8" t="n">
        <v>157357</v>
      </c>
      <c r="E12" s="8" t="n">
        <v>185912</v>
      </c>
      <c r="F12" s="8" t="n">
        <v>2.079</v>
      </c>
      <c r="G12" s="8" t="n">
        <v>3.63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28" customHeight="1">
      <c r="A1" s="5" t="inlineStr">
        <is>
          <t>Seasonality Analysis — Average TEU by Calendar Month</t>
        </is>
      </c>
    </row>
    <row r="2">
      <c r="A2" s="6" t="inlineStr">
        <is>
          <t>Month</t>
        </is>
      </c>
      <c r="B2" s="6" t="inlineStr">
        <is>
          <t>Month Name</t>
        </is>
      </c>
      <c r="C2" s="6" t="inlineStr">
        <is>
          <t>Avg Teu</t>
        </is>
      </c>
      <c r="D2" s="6" t="inlineStr">
        <is>
          <t>Min Teu</t>
        </is>
      </c>
      <c r="E2" s="6" t="inlineStr">
        <is>
          <t>Max Teu</t>
        </is>
      </c>
    </row>
    <row r="3">
      <c r="A3" s="7" t="n">
        <v>1</v>
      </c>
      <c r="B3" s="7" t="inlineStr">
        <is>
          <t>Jan</t>
        </is>
      </c>
      <c r="C3" s="7" t="n">
        <v>133540</v>
      </c>
      <c r="D3" s="7" t="n">
        <v>111735</v>
      </c>
      <c r="E3" s="7" t="n">
        <v>158760</v>
      </c>
    </row>
    <row r="4">
      <c r="A4" s="8" t="n">
        <v>2</v>
      </c>
      <c r="B4" s="8" t="inlineStr">
        <is>
          <t>Feb</t>
        </is>
      </c>
      <c r="C4" s="8" t="n">
        <v>134926</v>
      </c>
      <c r="D4" s="8" t="n">
        <v>109680</v>
      </c>
      <c r="E4" s="8" t="n">
        <v>160711</v>
      </c>
    </row>
    <row r="5">
      <c r="A5" s="7" t="n">
        <v>3</v>
      </c>
      <c r="B5" s="7" t="inlineStr">
        <is>
          <t>Mar</t>
        </is>
      </c>
      <c r="C5" s="7" t="n">
        <v>138361</v>
      </c>
      <c r="D5" s="7" t="n">
        <v>115473</v>
      </c>
      <c r="E5" s="7" t="n">
        <v>160670</v>
      </c>
    </row>
    <row r="6">
      <c r="A6" s="8" t="n">
        <v>4</v>
      </c>
      <c r="B6" s="8" t="inlineStr">
        <is>
          <t>Apr</t>
        </is>
      </c>
      <c r="C6" s="8" t="n">
        <v>143565</v>
      </c>
      <c r="D6" s="8" t="n">
        <v>120676</v>
      </c>
      <c r="E6" s="8" t="n">
        <v>169318</v>
      </c>
    </row>
    <row r="7">
      <c r="A7" s="7" t="n">
        <v>5</v>
      </c>
      <c r="B7" s="7" t="inlineStr">
        <is>
          <t>May</t>
        </is>
      </c>
      <c r="C7" s="7" t="n">
        <v>144585</v>
      </c>
      <c r="D7" s="7" t="n">
        <v>123728</v>
      </c>
      <c r="E7" s="7" t="n">
        <v>173153</v>
      </c>
    </row>
    <row r="8">
      <c r="A8" s="8" t="n">
        <v>6</v>
      </c>
      <c r="B8" s="8" t="inlineStr">
        <is>
          <t>Jun</t>
        </is>
      </c>
      <c r="C8" s="8" t="n">
        <v>150860</v>
      </c>
      <c r="D8" s="8" t="n">
        <v>125673</v>
      </c>
      <c r="E8" s="8" t="n">
        <v>185912</v>
      </c>
    </row>
    <row r="9">
      <c r="A9" s="7" t="n">
        <v>7</v>
      </c>
      <c r="B9" s="7" t="inlineStr">
        <is>
          <t>Jul</t>
        </is>
      </c>
      <c r="C9" s="7" t="n">
        <v>152978</v>
      </c>
      <c r="D9" s="7" t="n">
        <v>129931</v>
      </c>
      <c r="E9" s="7" t="n">
        <v>175907</v>
      </c>
    </row>
    <row r="10">
      <c r="A10" s="8" t="n">
        <v>8</v>
      </c>
      <c r="B10" s="8" t="inlineStr">
        <is>
          <t>Aug</t>
        </is>
      </c>
      <c r="C10" s="8" t="n">
        <v>155263</v>
      </c>
      <c r="D10" s="8" t="n">
        <v>129607</v>
      </c>
      <c r="E10" s="8" t="n">
        <v>180075</v>
      </c>
    </row>
    <row r="11">
      <c r="A11" s="7" t="n">
        <v>9</v>
      </c>
      <c r="B11" s="7" t="inlineStr">
        <is>
          <t>Sep</t>
        </is>
      </c>
      <c r="C11" s="7" t="n">
        <v>155672</v>
      </c>
      <c r="D11" s="7" t="n">
        <v>130450</v>
      </c>
      <c r="E11" s="7" t="n">
        <v>180508</v>
      </c>
    </row>
    <row r="12">
      <c r="A12" s="8" t="n">
        <v>10</v>
      </c>
      <c r="B12" s="8" t="inlineStr">
        <is>
          <t>Oct</t>
        </is>
      </c>
      <c r="C12" s="8" t="n">
        <v>157141</v>
      </c>
      <c r="D12" s="8" t="n">
        <v>136950</v>
      </c>
      <c r="E12" s="8" t="n">
        <v>179083</v>
      </c>
    </row>
    <row r="13">
      <c r="A13" s="7" t="n">
        <v>11</v>
      </c>
      <c r="B13" s="7" t="inlineStr">
        <is>
          <t>Nov</t>
        </is>
      </c>
      <c r="C13" s="7" t="n">
        <v>158152</v>
      </c>
      <c r="D13" s="7" t="n">
        <v>129868</v>
      </c>
      <c r="E13" s="7" t="n">
        <v>185197</v>
      </c>
    </row>
    <row r="14">
      <c r="A14" s="8" t="n">
        <v>12</v>
      </c>
      <c r="B14" s="8" t="inlineStr">
        <is>
          <t>Dec</t>
        </is>
      </c>
      <c r="C14" s="8" t="n">
        <v>147181</v>
      </c>
      <c r="D14" s="8" t="n">
        <v>121303</v>
      </c>
      <c r="E14" s="8" t="n">
        <v>174884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4" customWidth="1" min="4" max="4"/>
    <col width="14" customWidth="1" min="5" max="5"/>
    <col width="18" customWidth="1" min="6" max="6"/>
    <col width="18" customWidth="1" min="7" max="7"/>
    <col width="19" customWidth="1" min="8" max="8"/>
  </cols>
  <sheetData>
    <row r="1" ht="28" customHeight="1">
      <c r="A1" s="5" t="inlineStr">
        <is>
          <t>Raw Monthly Throughput Data — JNPT (Jan 2015 – Dec 2024)</t>
        </is>
      </c>
    </row>
    <row r="2">
      <c r="A2" s="6" t="inlineStr">
        <is>
          <t>Date</t>
        </is>
      </c>
      <c r="B2" s="6" t="inlineStr">
        <is>
          <t>Year</t>
        </is>
      </c>
      <c r="C2" s="6" t="inlineStr">
        <is>
          <t>Month</t>
        </is>
      </c>
      <c r="D2" s="6" t="inlineStr">
        <is>
          <t>Month Name</t>
        </is>
      </c>
      <c r="E2" s="6" t="inlineStr">
        <is>
          <t>Teu Volume</t>
        </is>
      </c>
      <c r="F2" s="6" t="inlineStr">
        <is>
          <t>Yoy Growth Pct</t>
        </is>
      </c>
      <c r="G2" s="6" t="inlineStr">
        <is>
          <t>Mom Growth Pct</t>
        </is>
      </c>
      <c r="H2" s="6" t="inlineStr">
        <is>
          <t>Rolling 12M Avg</t>
        </is>
      </c>
    </row>
    <row r="3">
      <c r="A3" s="9" t="n">
        <v>42005</v>
      </c>
      <c r="B3" s="7" t="n">
        <v>2015</v>
      </c>
      <c r="C3" s="7" t="n">
        <v>1</v>
      </c>
      <c r="D3" s="7" t="inlineStr">
        <is>
          <t>Jan</t>
        </is>
      </c>
      <c r="E3" s="7" t="n">
        <v>111735</v>
      </c>
      <c r="F3" s="7" t="n">
        <v/>
      </c>
      <c r="G3" s="7" t="n">
        <v/>
      </c>
      <c r="H3" s="7" t="n">
        <v/>
      </c>
    </row>
    <row r="4">
      <c r="A4" s="10" t="n">
        <v>42036</v>
      </c>
      <c r="B4" s="8" t="n">
        <v>2015</v>
      </c>
      <c r="C4" s="8" t="n">
        <v>2</v>
      </c>
      <c r="D4" s="8" t="inlineStr">
        <is>
          <t>Feb</t>
        </is>
      </c>
      <c r="E4" s="8" t="n">
        <v>112323</v>
      </c>
      <c r="F4" s="8" t="n">
        <v/>
      </c>
      <c r="G4" s="8" t="n">
        <v>0.53</v>
      </c>
      <c r="H4" s="8" t="n">
        <v/>
      </c>
    </row>
    <row r="5">
      <c r="A5" s="9" t="n">
        <v>42064</v>
      </c>
      <c r="B5" s="7" t="n">
        <v>2015</v>
      </c>
      <c r="C5" s="7" t="n">
        <v>3</v>
      </c>
      <c r="D5" s="7" t="inlineStr">
        <is>
          <t>Mar</t>
        </is>
      </c>
      <c r="E5" s="7" t="n">
        <v>120805</v>
      </c>
      <c r="F5" s="7" t="n">
        <v/>
      </c>
      <c r="G5" s="7" t="n">
        <v>7.55</v>
      </c>
      <c r="H5" s="7" t="n">
        <v/>
      </c>
    </row>
    <row r="6">
      <c r="A6" s="10" t="n">
        <v>42095</v>
      </c>
      <c r="B6" s="8" t="n">
        <v>2015</v>
      </c>
      <c r="C6" s="8" t="n">
        <v>4</v>
      </c>
      <c r="D6" s="8" t="inlineStr">
        <is>
          <t>Apr</t>
        </is>
      </c>
      <c r="E6" s="8" t="n">
        <v>128190</v>
      </c>
      <c r="F6" s="8" t="n">
        <v/>
      </c>
      <c r="G6" s="8" t="n">
        <v>6.11</v>
      </c>
      <c r="H6" s="8" t="n">
        <v/>
      </c>
    </row>
    <row r="7">
      <c r="A7" s="9" t="n">
        <v>42125</v>
      </c>
      <c r="B7" s="7" t="n">
        <v>2015</v>
      </c>
      <c r="C7" s="7" t="n">
        <v>5</v>
      </c>
      <c r="D7" s="7" t="inlineStr">
        <is>
          <t>May</t>
        </is>
      </c>
      <c r="E7" s="7" t="n">
        <v>123728</v>
      </c>
      <c r="F7" s="7" t="n">
        <v/>
      </c>
      <c r="G7" s="7" t="n">
        <v>-3.48</v>
      </c>
      <c r="H7" s="7" t="n">
        <v/>
      </c>
    </row>
    <row r="8">
      <c r="A8" s="10" t="n">
        <v>42156</v>
      </c>
      <c r="B8" s="8" t="n">
        <v>2015</v>
      </c>
      <c r="C8" s="8" t="n">
        <v>6</v>
      </c>
      <c r="D8" s="8" t="inlineStr">
        <is>
          <t>Jun</t>
        </is>
      </c>
      <c r="E8" s="8" t="n">
        <v>125673</v>
      </c>
      <c r="F8" s="8" t="n">
        <v/>
      </c>
      <c r="G8" s="8" t="n">
        <v>1.57</v>
      </c>
      <c r="H8" s="8" t="n">
        <v/>
      </c>
    </row>
    <row r="9">
      <c r="A9" s="9" t="n">
        <v>42186</v>
      </c>
      <c r="B9" s="7" t="n">
        <v>2015</v>
      </c>
      <c r="C9" s="7" t="n">
        <v>7</v>
      </c>
      <c r="D9" s="7" t="inlineStr">
        <is>
          <t>Jul</t>
        </is>
      </c>
      <c r="E9" s="7" t="n">
        <v>135779</v>
      </c>
      <c r="F9" s="7" t="n">
        <v/>
      </c>
      <c r="G9" s="7" t="n">
        <v>8.039999999999999</v>
      </c>
      <c r="H9" s="7" t="n">
        <v/>
      </c>
    </row>
    <row r="10">
      <c r="A10" s="10" t="n">
        <v>42217</v>
      </c>
      <c r="B10" s="8" t="n">
        <v>2015</v>
      </c>
      <c r="C10" s="8" t="n">
        <v>8</v>
      </c>
      <c r="D10" s="8" t="inlineStr">
        <is>
          <t>Aug</t>
        </is>
      </c>
      <c r="E10" s="8" t="n">
        <v>134071</v>
      </c>
      <c r="F10" s="8" t="n">
        <v/>
      </c>
      <c r="G10" s="8" t="n">
        <v>-1.26</v>
      </c>
      <c r="H10" s="8" t="n">
        <v/>
      </c>
    </row>
    <row r="11">
      <c r="A11" s="9" t="n">
        <v>42248</v>
      </c>
      <c r="B11" s="7" t="n">
        <v>2015</v>
      </c>
      <c r="C11" s="7" t="n">
        <v>9</v>
      </c>
      <c r="D11" s="7" t="inlineStr">
        <is>
          <t>Sep</t>
        </is>
      </c>
      <c r="E11" s="7" t="n">
        <v>130450</v>
      </c>
      <c r="F11" s="7" t="n">
        <v/>
      </c>
      <c r="G11" s="7" t="n">
        <v>-2.7</v>
      </c>
      <c r="H11" s="7" t="n">
        <v/>
      </c>
    </row>
    <row r="12">
      <c r="A12" s="10" t="n">
        <v>42278</v>
      </c>
      <c r="B12" s="8" t="n">
        <v>2015</v>
      </c>
      <c r="C12" s="8" t="n">
        <v>10</v>
      </c>
      <c r="D12" s="8" t="inlineStr">
        <is>
          <t>Oct</t>
        </is>
      </c>
      <c r="E12" s="8" t="n">
        <v>136950</v>
      </c>
      <c r="F12" s="8" t="n">
        <v/>
      </c>
      <c r="G12" s="8" t="n">
        <v>4.98</v>
      </c>
      <c r="H12" s="8" t="n">
        <v/>
      </c>
    </row>
    <row r="13">
      <c r="A13" s="9" t="n">
        <v>42309</v>
      </c>
      <c r="B13" s="7" t="n">
        <v>2015</v>
      </c>
      <c r="C13" s="7" t="n">
        <v>11</v>
      </c>
      <c r="D13" s="7" t="inlineStr">
        <is>
          <t>Nov</t>
        </is>
      </c>
      <c r="E13" s="7" t="n">
        <v>129868</v>
      </c>
      <c r="F13" s="7" t="n">
        <v/>
      </c>
      <c r="G13" s="7" t="n">
        <v>-5.17</v>
      </c>
      <c r="H13" s="7" t="n">
        <v/>
      </c>
    </row>
    <row r="14">
      <c r="A14" s="10" t="n">
        <v>42339</v>
      </c>
      <c r="B14" s="8" t="n">
        <v>2015</v>
      </c>
      <c r="C14" s="8" t="n">
        <v>12</v>
      </c>
      <c r="D14" s="8" t="inlineStr">
        <is>
          <t>Dec</t>
        </is>
      </c>
      <c r="E14" s="8" t="n">
        <v>121303</v>
      </c>
      <c r="F14" s="8" t="n">
        <v/>
      </c>
      <c r="G14" s="8" t="n">
        <v>-6.6</v>
      </c>
      <c r="H14" s="8" t="n">
        <v>125906</v>
      </c>
    </row>
    <row r="15">
      <c r="A15" s="9" t="n">
        <v>42370</v>
      </c>
      <c r="B15" s="7" t="n">
        <v>2016</v>
      </c>
      <c r="C15" s="7" t="n">
        <v>1</v>
      </c>
      <c r="D15" s="7" t="inlineStr">
        <is>
          <t>Jan</t>
        </is>
      </c>
      <c r="E15" s="7" t="n">
        <v>115933</v>
      </c>
      <c r="F15" s="7" t="n">
        <v>3.76</v>
      </c>
      <c r="G15" s="7" t="n">
        <v>-4.43</v>
      </c>
      <c r="H15" s="7" t="n">
        <v>126256</v>
      </c>
    </row>
    <row r="16">
      <c r="A16" s="10" t="n">
        <v>42401</v>
      </c>
      <c r="B16" s="8" t="n">
        <v>2016</v>
      </c>
      <c r="C16" s="8" t="n">
        <v>2</v>
      </c>
      <c r="D16" s="8" t="inlineStr">
        <is>
          <t>Feb</t>
        </is>
      </c>
      <c r="E16" s="8" t="n">
        <v>109680</v>
      </c>
      <c r="F16" s="8" t="n">
        <v>-2.35</v>
      </c>
      <c r="G16" s="8" t="n">
        <v>-5.39</v>
      </c>
      <c r="H16" s="8" t="n">
        <v>126036</v>
      </c>
    </row>
    <row r="17">
      <c r="A17" s="9" t="n">
        <v>42430</v>
      </c>
      <c r="B17" s="7" t="n">
        <v>2016</v>
      </c>
      <c r="C17" s="7" t="n">
        <v>3</v>
      </c>
      <c r="D17" s="7" t="inlineStr">
        <is>
          <t>Mar</t>
        </is>
      </c>
      <c r="E17" s="7" t="n">
        <v>115473</v>
      </c>
      <c r="F17" s="7" t="n">
        <v>-4.41</v>
      </c>
      <c r="G17" s="7" t="n">
        <v>5.28</v>
      </c>
      <c r="H17" s="7" t="n">
        <v>125592</v>
      </c>
    </row>
    <row r="18">
      <c r="A18" s="10" t="n">
        <v>42461</v>
      </c>
      <c r="B18" s="8" t="n">
        <v>2016</v>
      </c>
      <c r="C18" s="8" t="n">
        <v>4</v>
      </c>
      <c r="D18" s="8" t="inlineStr">
        <is>
          <t>Apr</t>
        </is>
      </c>
      <c r="E18" s="8" t="n">
        <v>124150</v>
      </c>
      <c r="F18" s="8" t="n">
        <v>-3.15</v>
      </c>
      <c r="G18" s="8" t="n">
        <v>7.51</v>
      </c>
      <c r="H18" s="8" t="n">
        <v>125255</v>
      </c>
    </row>
    <row r="19">
      <c r="A19" s="9" t="n">
        <v>42491</v>
      </c>
      <c r="B19" s="7" t="n">
        <v>2016</v>
      </c>
      <c r="C19" s="7" t="n">
        <v>5</v>
      </c>
      <c r="D19" s="7" t="inlineStr">
        <is>
          <t>May</t>
        </is>
      </c>
      <c r="E19" s="7" t="n">
        <v>125568</v>
      </c>
      <c r="F19" s="7" t="n">
        <v>1.49</v>
      </c>
      <c r="G19" s="7" t="n">
        <v>1.14</v>
      </c>
      <c r="H19" s="7" t="n">
        <v>125408</v>
      </c>
    </row>
    <row r="20">
      <c r="A20" s="10" t="n">
        <v>42522</v>
      </c>
      <c r="B20" s="8" t="n">
        <v>2016</v>
      </c>
      <c r="C20" s="8" t="n">
        <v>6</v>
      </c>
      <c r="D20" s="8" t="inlineStr">
        <is>
          <t>Jun</t>
        </is>
      </c>
      <c r="E20" s="8" t="n">
        <v>133486</v>
      </c>
      <c r="F20" s="8" t="n">
        <v>6.22</v>
      </c>
      <c r="G20" s="8" t="n">
        <v>6.31</v>
      </c>
      <c r="H20" s="8" t="n">
        <v>126059</v>
      </c>
    </row>
    <row r="21">
      <c r="A21" s="9" t="n">
        <v>42552</v>
      </c>
      <c r="B21" s="7" t="n">
        <v>2016</v>
      </c>
      <c r="C21" s="7" t="n">
        <v>7</v>
      </c>
      <c r="D21" s="7" t="inlineStr">
        <is>
          <t>Jul</t>
        </is>
      </c>
      <c r="E21" s="7" t="n">
        <v>129931</v>
      </c>
      <c r="F21" s="7" t="n">
        <v>-4.31</v>
      </c>
      <c r="G21" s="7" t="n">
        <v>-2.66</v>
      </c>
      <c r="H21" s="7" t="n">
        <v>125572</v>
      </c>
    </row>
    <row r="22">
      <c r="A22" s="10" t="n">
        <v>42583</v>
      </c>
      <c r="B22" s="8" t="n">
        <v>2016</v>
      </c>
      <c r="C22" s="8" t="n">
        <v>8</v>
      </c>
      <c r="D22" s="8" t="inlineStr">
        <is>
          <t>Aug</t>
        </is>
      </c>
      <c r="E22" s="8" t="n">
        <v>129607</v>
      </c>
      <c r="F22" s="8" t="n">
        <v>-3.33</v>
      </c>
      <c r="G22" s="8" t="n">
        <v>-0.25</v>
      </c>
      <c r="H22" s="8" t="n">
        <v>125200</v>
      </c>
    </row>
    <row r="23">
      <c r="A23" s="9" t="n">
        <v>42614</v>
      </c>
      <c r="B23" s="7" t="n">
        <v>2016</v>
      </c>
      <c r="C23" s="7" t="n">
        <v>9</v>
      </c>
      <c r="D23" s="7" t="inlineStr">
        <is>
          <t>Sep</t>
        </is>
      </c>
      <c r="E23" s="7" t="n">
        <v>144503</v>
      </c>
      <c r="F23" s="7" t="n">
        <v>10.77</v>
      </c>
      <c r="G23" s="7" t="n">
        <v>11.49</v>
      </c>
      <c r="H23" s="7" t="n">
        <v>126371</v>
      </c>
    </row>
    <row r="24">
      <c r="A24" s="10" t="n">
        <v>42644</v>
      </c>
      <c r="B24" s="8" t="n">
        <v>2016</v>
      </c>
      <c r="C24" s="8" t="n">
        <v>10</v>
      </c>
      <c r="D24" s="8" t="inlineStr">
        <is>
          <t>Oct</t>
        </is>
      </c>
      <c r="E24" s="8" t="n">
        <v>138837</v>
      </c>
      <c r="F24" s="8" t="n">
        <v>1.38</v>
      </c>
      <c r="G24" s="8" t="n">
        <v>-3.92</v>
      </c>
      <c r="H24" s="8" t="n">
        <v>126528</v>
      </c>
    </row>
    <row r="25">
      <c r="A25" s="9" t="n">
        <v>42675</v>
      </c>
      <c r="B25" s="7" t="n">
        <v>2016</v>
      </c>
      <c r="C25" s="7" t="n">
        <v>11</v>
      </c>
      <c r="D25" s="7" t="inlineStr">
        <is>
          <t>Nov</t>
        </is>
      </c>
      <c r="E25" s="7" t="n">
        <v>137602</v>
      </c>
      <c r="F25" s="7" t="n">
        <v>5.96</v>
      </c>
      <c r="G25" s="7" t="n">
        <v>-0.89</v>
      </c>
      <c r="H25" s="7" t="n">
        <v>127173</v>
      </c>
    </row>
    <row r="26">
      <c r="A26" s="10" t="n">
        <v>42705</v>
      </c>
      <c r="B26" s="8" t="n">
        <v>2016</v>
      </c>
      <c r="C26" s="8" t="n">
        <v>12</v>
      </c>
      <c r="D26" s="8" t="inlineStr">
        <is>
          <t>Dec</t>
        </is>
      </c>
      <c r="E26" s="8" t="n">
        <v>122332</v>
      </c>
      <c r="F26" s="8" t="n">
        <v>0.85</v>
      </c>
      <c r="G26" s="8" t="n">
        <v>-11.1</v>
      </c>
      <c r="H26" s="8" t="n">
        <v>127258</v>
      </c>
    </row>
    <row r="27">
      <c r="A27" s="9" t="n">
        <v>42736</v>
      </c>
      <c r="B27" s="7" t="n">
        <v>2017</v>
      </c>
      <c r="C27" s="7" t="n">
        <v>1</v>
      </c>
      <c r="D27" s="7" t="inlineStr">
        <is>
          <t>Jan</t>
        </is>
      </c>
      <c r="E27" s="7" t="n">
        <v>117739</v>
      </c>
      <c r="F27" s="7" t="n">
        <v>1.56</v>
      </c>
      <c r="G27" s="7" t="n">
        <v>-3.75</v>
      </c>
      <c r="H27" s="7" t="n">
        <v>127409</v>
      </c>
    </row>
    <row r="28">
      <c r="A28" s="10" t="n">
        <v>42767</v>
      </c>
      <c r="B28" s="8" t="n">
        <v>2017</v>
      </c>
      <c r="C28" s="8" t="n">
        <v>2</v>
      </c>
      <c r="D28" s="8" t="inlineStr">
        <is>
          <t>Feb</t>
        </is>
      </c>
      <c r="E28" s="8" t="n">
        <v>124134</v>
      </c>
      <c r="F28" s="8" t="n">
        <v>13.18</v>
      </c>
      <c r="G28" s="8" t="n">
        <v>5.43</v>
      </c>
      <c r="H28" s="8" t="n">
        <v>128614</v>
      </c>
    </row>
    <row r="29">
      <c r="A29" s="9" t="n">
        <v>42795</v>
      </c>
      <c r="B29" s="7" t="n">
        <v>2017</v>
      </c>
      <c r="C29" s="7" t="n">
        <v>3</v>
      </c>
      <c r="D29" s="7" t="inlineStr">
        <is>
          <t>Mar</t>
        </is>
      </c>
      <c r="E29" s="7" t="n">
        <v>123400</v>
      </c>
      <c r="F29" s="7" t="n">
        <v>6.86</v>
      </c>
      <c r="G29" s="7" t="n">
        <v>-0.59</v>
      </c>
      <c r="H29" s="7" t="n">
        <v>129274</v>
      </c>
    </row>
    <row r="30">
      <c r="A30" s="10" t="n">
        <v>42826</v>
      </c>
      <c r="B30" s="8" t="n">
        <v>2017</v>
      </c>
      <c r="C30" s="8" t="n">
        <v>4</v>
      </c>
      <c r="D30" s="8" t="inlineStr">
        <is>
          <t>Apr</t>
        </is>
      </c>
      <c r="E30" s="8" t="n">
        <v>133716</v>
      </c>
      <c r="F30" s="8" t="n">
        <v>7.71</v>
      </c>
      <c r="G30" s="8" t="n">
        <v>8.359999999999999</v>
      </c>
      <c r="H30" s="8" t="n">
        <v>130071</v>
      </c>
    </row>
    <row r="31">
      <c r="A31" s="9" t="n">
        <v>42856</v>
      </c>
      <c r="B31" s="7" t="n">
        <v>2017</v>
      </c>
      <c r="C31" s="7" t="n">
        <v>5</v>
      </c>
      <c r="D31" s="7" t="inlineStr">
        <is>
          <t>May</t>
        </is>
      </c>
      <c r="E31" s="7" t="n">
        <v>132768</v>
      </c>
      <c r="F31" s="7" t="n">
        <v>5.73</v>
      </c>
      <c r="G31" s="7" t="n">
        <v>-0.71</v>
      </c>
      <c r="H31" s="7" t="n">
        <v>130671</v>
      </c>
    </row>
    <row r="32">
      <c r="A32" s="10" t="n">
        <v>42887</v>
      </c>
      <c r="B32" s="8" t="n">
        <v>2017</v>
      </c>
      <c r="C32" s="8" t="n">
        <v>6</v>
      </c>
      <c r="D32" s="8" t="inlineStr">
        <is>
          <t>Jun</t>
        </is>
      </c>
      <c r="E32" s="8" t="n">
        <v>136103</v>
      </c>
      <c r="F32" s="8" t="n">
        <v>1.96</v>
      </c>
      <c r="G32" s="8" t="n">
        <v>2.51</v>
      </c>
      <c r="H32" s="8" t="n">
        <v>130889</v>
      </c>
    </row>
    <row r="33">
      <c r="A33" s="9" t="n">
        <v>42917</v>
      </c>
      <c r="B33" s="7" t="n">
        <v>2017</v>
      </c>
      <c r="C33" s="7" t="n">
        <v>7</v>
      </c>
      <c r="D33" s="7" t="inlineStr">
        <is>
          <t>Jul</t>
        </is>
      </c>
      <c r="E33" s="7" t="n">
        <v>136654</v>
      </c>
      <c r="F33" s="7" t="n">
        <v>5.17</v>
      </c>
      <c r="G33" s="7" t="n">
        <v>0.4</v>
      </c>
      <c r="H33" s="7" t="n">
        <v>131450</v>
      </c>
    </row>
    <row r="34">
      <c r="A34" s="10" t="n">
        <v>42948</v>
      </c>
      <c r="B34" s="8" t="n">
        <v>2017</v>
      </c>
      <c r="C34" s="8" t="n">
        <v>8</v>
      </c>
      <c r="D34" s="8" t="inlineStr">
        <is>
          <t>Aug</t>
        </is>
      </c>
      <c r="E34" s="8" t="n">
        <v>149642</v>
      </c>
      <c r="F34" s="8" t="n">
        <v>15.46</v>
      </c>
      <c r="G34" s="8" t="n">
        <v>9.5</v>
      </c>
      <c r="H34" s="8" t="n">
        <v>133119</v>
      </c>
    </row>
    <row r="35">
      <c r="A35" s="9" t="n">
        <v>42979</v>
      </c>
      <c r="B35" s="7" t="n">
        <v>2017</v>
      </c>
      <c r="C35" s="7" t="n">
        <v>9</v>
      </c>
      <c r="D35" s="7" t="inlineStr">
        <is>
          <t>Sep</t>
        </is>
      </c>
      <c r="E35" s="7" t="n">
        <v>143191</v>
      </c>
      <c r="F35" s="7" t="n">
        <v>-0.91</v>
      </c>
      <c r="G35" s="7" t="n">
        <v>-4.31</v>
      </c>
      <c r="H35" s="7" t="n">
        <v>133010</v>
      </c>
    </row>
    <row r="36">
      <c r="A36" s="10" t="n">
        <v>43009</v>
      </c>
      <c r="B36" s="8" t="n">
        <v>2017</v>
      </c>
      <c r="C36" s="8" t="n">
        <v>10</v>
      </c>
      <c r="D36" s="8" t="inlineStr">
        <is>
          <t>Oct</t>
        </is>
      </c>
      <c r="E36" s="8" t="n">
        <v>140438</v>
      </c>
      <c r="F36" s="8" t="n">
        <v>1.15</v>
      </c>
      <c r="G36" s="8" t="n">
        <v>-1.92</v>
      </c>
      <c r="H36" s="8" t="n">
        <v>133143</v>
      </c>
    </row>
    <row r="37">
      <c r="A37" s="9" t="n">
        <v>43040</v>
      </c>
      <c r="B37" s="7" t="n">
        <v>2017</v>
      </c>
      <c r="C37" s="7" t="n">
        <v>11</v>
      </c>
      <c r="D37" s="7" t="inlineStr">
        <is>
          <t>Nov</t>
        </is>
      </c>
      <c r="E37" s="7" t="n">
        <v>146344</v>
      </c>
      <c r="F37" s="7" t="n">
        <v>6.35</v>
      </c>
      <c r="G37" s="7" t="n">
        <v>4.21</v>
      </c>
      <c r="H37" s="7" t="n">
        <v>133872</v>
      </c>
    </row>
    <row r="38">
      <c r="A38" s="10" t="n">
        <v>43070</v>
      </c>
      <c r="B38" s="8" t="n">
        <v>2017</v>
      </c>
      <c r="C38" s="8" t="n">
        <v>12</v>
      </c>
      <c r="D38" s="8" t="inlineStr">
        <is>
          <t>Dec</t>
        </is>
      </c>
      <c r="E38" s="8" t="n">
        <v>128594</v>
      </c>
      <c r="F38" s="8" t="n">
        <v>5.12</v>
      </c>
      <c r="G38" s="8" t="n">
        <v>-12.13</v>
      </c>
      <c r="H38" s="8" t="n">
        <v>134394</v>
      </c>
    </row>
    <row r="39">
      <c r="A39" s="9" t="n">
        <v>43101</v>
      </c>
      <c r="B39" s="7" t="n">
        <v>2018</v>
      </c>
      <c r="C39" s="7" t="n">
        <v>1</v>
      </c>
      <c r="D39" s="7" t="inlineStr">
        <is>
          <t>Jan</t>
        </is>
      </c>
      <c r="E39" s="7" t="n">
        <v>126473</v>
      </c>
      <c r="F39" s="7" t="n">
        <v>7.42</v>
      </c>
      <c r="G39" s="7" t="n">
        <v>-1.65</v>
      </c>
      <c r="H39" s="7" t="n">
        <v>135121</v>
      </c>
    </row>
    <row r="40">
      <c r="A40" s="10" t="n">
        <v>43132</v>
      </c>
      <c r="B40" s="8" t="n">
        <v>2018</v>
      </c>
      <c r="C40" s="8" t="n">
        <v>2</v>
      </c>
      <c r="D40" s="8" t="inlineStr">
        <is>
          <t>Feb</t>
        </is>
      </c>
      <c r="E40" s="8" t="n">
        <v>120160</v>
      </c>
      <c r="F40" s="8" t="n">
        <v>-3.2</v>
      </c>
      <c r="G40" s="8" t="n">
        <v>-4.99</v>
      </c>
      <c r="H40" s="8" t="n">
        <v>134790</v>
      </c>
    </row>
    <row r="41">
      <c r="A41" s="9" t="n">
        <v>43160</v>
      </c>
      <c r="B41" s="7" t="n">
        <v>2018</v>
      </c>
      <c r="C41" s="7" t="n">
        <v>3</v>
      </c>
      <c r="D41" s="7" t="inlineStr">
        <is>
          <t>Mar</t>
        </is>
      </c>
      <c r="E41" s="7" t="n">
        <v>127948</v>
      </c>
      <c r="F41" s="7" t="n">
        <v>3.69</v>
      </c>
      <c r="G41" s="7" t="n">
        <v>6.48</v>
      </c>
      <c r="H41" s="7" t="n">
        <v>135169</v>
      </c>
    </row>
    <row r="42">
      <c r="A42" s="10" t="n">
        <v>43191</v>
      </c>
      <c r="B42" s="8" t="n">
        <v>2018</v>
      </c>
      <c r="C42" s="8" t="n">
        <v>4</v>
      </c>
      <c r="D42" s="8" t="inlineStr">
        <is>
          <t>Apr</t>
        </is>
      </c>
      <c r="E42" s="8" t="n">
        <v>138256</v>
      </c>
      <c r="F42" s="8" t="n">
        <v>3.4</v>
      </c>
      <c r="G42" s="8" t="n">
        <v>8.06</v>
      </c>
      <c r="H42" s="8" t="n">
        <v>135548</v>
      </c>
    </row>
    <row r="43">
      <c r="A43" s="9" t="n">
        <v>43221</v>
      </c>
      <c r="B43" s="7" t="n">
        <v>2018</v>
      </c>
      <c r="C43" s="7" t="n">
        <v>5</v>
      </c>
      <c r="D43" s="7" t="inlineStr">
        <is>
          <t>May</t>
        </is>
      </c>
      <c r="E43" s="7" t="n">
        <v>144138</v>
      </c>
      <c r="F43" s="7" t="n">
        <v>8.56</v>
      </c>
      <c r="G43" s="7" t="n">
        <v>4.25</v>
      </c>
      <c r="H43" s="7" t="n">
        <v>136495</v>
      </c>
    </row>
    <row r="44">
      <c r="A44" s="10" t="n">
        <v>43252</v>
      </c>
      <c r="B44" s="8" t="n">
        <v>2018</v>
      </c>
      <c r="C44" s="8" t="n">
        <v>6</v>
      </c>
      <c r="D44" s="8" t="inlineStr">
        <is>
          <t>Jun</t>
        </is>
      </c>
      <c r="E44" s="8" t="n">
        <v>143532</v>
      </c>
      <c r="F44" s="8" t="n">
        <v>5.46</v>
      </c>
      <c r="G44" s="8" t="n">
        <v>-0.42</v>
      </c>
      <c r="H44" s="8" t="n">
        <v>137114</v>
      </c>
    </row>
    <row r="45">
      <c r="A45" s="9" t="n">
        <v>43282</v>
      </c>
      <c r="B45" s="7" t="n">
        <v>2018</v>
      </c>
      <c r="C45" s="7" t="n">
        <v>7</v>
      </c>
      <c r="D45" s="7" t="inlineStr">
        <is>
          <t>Jul</t>
        </is>
      </c>
      <c r="E45" s="7" t="n">
        <v>144185</v>
      </c>
      <c r="F45" s="7" t="n">
        <v>5.51</v>
      </c>
      <c r="G45" s="7" t="n">
        <v>0.45</v>
      </c>
      <c r="H45" s="7" t="n">
        <v>137742</v>
      </c>
    </row>
    <row r="46">
      <c r="A46" s="10" t="n">
        <v>43313</v>
      </c>
      <c r="B46" s="8" t="n">
        <v>2018</v>
      </c>
      <c r="C46" s="8" t="n">
        <v>8</v>
      </c>
      <c r="D46" s="8" t="inlineStr">
        <is>
          <t>Aug</t>
        </is>
      </c>
      <c r="E46" s="8" t="n">
        <v>145296</v>
      </c>
      <c r="F46" s="8" t="n">
        <v>-2.9</v>
      </c>
      <c r="G46" s="8" t="n">
        <v>0.77</v>
      </c>
      <c r="H46" s="8" t="n">
        <v>137380</v>
      </c>
    </row>
    <row r="47">
      <c r="A47" s="9" t="n">
        <v>43344</v>
      </c>
      <c r="B47" s="7" t="n">
        <v>2018</v>
      </c>
      <c r="C47" s="7" t="n">
        <v>9</v>
      </c>
      <c r="D47" s="7" t="inlineStr">
        <is>
          <t>Sep</t>
        </is>
      </c>
      <c r="E47" s="7" t="n">
        <v>141943</v>
      </c>
      <c r="F47" s="7" t="n">
        <v>-0.87</v>
      </c>
      <c r="G47" s="7" t="n">
        <v>-2.31</v>
      </c>
      <c r="H47" s="7" t="n">
        <v>137276</v>
      </c>
    </row>
    <row r="48">
      <c r="A48" s="10" t="n">
        <v>43374</v>
      </c>
      <c r="B48" s="8" t="n">
        <v>2018</v>
      </c>
      <c r="C48" s="8" t="n">
        <v>10</v>
      </c>
      <c r="D48" s="8" t="inlineStr">
        <is>
          <t>Oct</t>
        </is>
      </c>
      <c r="E48" s="8" t="n">
        <v>147303</v>
      </c>
      <c r="F48" s="8" t="n">
        <v>4.89</v>
      </c>
      <c r="G48" s="8" t="n">
        <v>3.78</v>
      </c>
      <c r="H48" s="8" t="n">
        <v>137848</v>
      </c>
    </row>
    <row r="49">
      <c r="A49" s="9" t="n">
        <v>43405</v>
      </c>
      <c r="B49" s="7" t="n">
        <v>2018</v>
      </c>
      <c r="C49" s="7" t="n">
        <v>11</v>
      </c>
      <c r="D49" s="7" t="inlineStr">
        <is>
          <t>Nov</t>
        </is>
      </c>
      <c r="E49" s="7" t="n">
        <v>145915</v>
      </c>
      <c r="F49" s="7" t="n">
        <v>-0.29</v>
      </c>
      <c r="G49" s="7" t="n">
        <v>-0.9399999999999999</v>
      </c>
      <c r="H49" s="7" t="n">
        <v>137812</v>
      </c>
    </row>
    <row r="50">
      <c r="A50" s="10" t="n">
        <v>43435</v>
      </c>
      <c r="B50" s="8" t="n">
        <v>2018</v>
      </c>
      <c r="C50" s="8" t="n">
        <v>12</v>
      </c>
      <c r="D50" s="8" t="inlineStr">
        <is>
          <t>Dec</t>
        </is>
      </c>
      <c r="E50" s="8" t="n">
        <v>144190</v>
      </c>
      <c r="F50" s="8" t="n">
        <v>12.13</v>
      </c>
      <c r="G50" s="8" t="n">
        <v>-1.18</v>
      </c>
      <c r="H50" s="8" t="n">
        <v>139112</v>
      </c>
    </row>
    <row r="51">
      <c r="A51" s="9" t="n">
        <v>43466</v>
      </c>
      <c r="B51" s="7" t="n">
        <v>2019</v>
      </c>
      <c r="C51" s="7" t="n">
        <v>1</v>
      </c>
      <c r="D51" s="7" t="inlineStr">
        <is>
          <t>Jan</t>
        </is>
      </c>
      <c r="E51" s="7" t="n">
        <v>132424</v>
      </c>
      <c r="F51" s="7" t="n">
        <v>4.71</v>
      </c>
      <c r="G51" s="7" t="n">
        <v>-8.16</v>
      </c>
      <c r="H51" s="7" t="n">
        <v>139608</v>
      </c>
    </row>
    <row r="52">
      <c r="A52" s="10" t="n">
        <v>43497</v>
      </c>
      <c r="B52" s="8" t="n">
        <v>2019</v>
      </c>
      <c r="C52" s="8" t="n">
        <v>2</v>
      </c>
      <c r="D52" s="8" t="inlineStr">
        <is>
          <t>Feb</t>
        </is>
      </c>
      <c r="E52" s="8" t="n">
        <v>126390</v>
      </c>
      <c r="F52" s="8" t="n">
        <v>5.18</v>
      </c>
      <c r="G52" s="8" t="n">
        <v>-4.56</v>
      </c>
      <c r="H52" s="8" t="n">
        <v>140127</v>
      </c>
    </row>
    <row r="53">
      <c r="A53" s="9" t="n">
        <v>43525</v>
      </c>
      <c r="B53" s="7" t="n">
        <v>2019</v>
      </c>
      <c r="C53" s="7" t="n">
        <v>3</v>
      </c>
      <c r="D53" s="7" t="inlineStr">
        <is>
          <t>Mar</t>
        </is>
      </c>
      <c r="E53" s="7" t="n">
        <v>140727</v>
      </c>
      <c r="F53" s="7" t="n">
        <v>9.99</v>
      </c>
      <c r="G53" s="7" t="n">
        <v>11.34</v>
      </c>
      <c r="H53" s="7" t="n">
        <v>141192</v>
      </c>
    </row>
    <row r="54">
      <c r="A54" s="10" t="n">
        <v>43556</v>
      </c>
      <c r="B54" s="8" t="n">
        <v>2019</v>
      </c>
      <c r="C54" s="8" t="n">
        <v>4</v>
      </c>
      <c r="D54" s="8" t="inlineStr">
        <is>
          <t>Apr</t>
        </is>
      </c>
      <c r="E54" s="8" t="n">
        <v>140981</v>
      </c>
      <c r="F54" s="8" t="n">
        <v>1.97</v>
      </c>
      <c r="G54" s="8" t="n">
        <v>0.18</v>
      </c>
      <c r="H54" s="8" t="n">
        <v>141419</v>
      </c>
    </row>
    <row r="55">
      <c r="A55" s="9" t="n">
        <v>43586</v>
      </c>
      <c r="B55" s="7" t="n">
        <v>2019</v>
      </c>
      <c r="C55" s="7" t="n">
        <v>5</v>
      </c>
      <c r="D55" s="7" t="inlineStr">
        <is>
          <t>May</t>
        </is>
      </c>
      <c r="E55" s="7" t="n">
        <v>143114</v>
      </c>
      <c r="F55" s="7" t="n">
        <v>-0.71</v>
      </c>
      <c r="G55" s="7" t="n">
        <v>1.51</v>
      </c>
      <c r="H55" s="7" t="n">
        <v>141333</v>
      </c>
    </row>
    <row r="56">
      <c r="A56" s="10" t="n">
        <v>43617</v>
      </c>
      <c r="B56" s="8" t="n">
        <v>2019</v>
      </c>
      <c r="C56" s="8" t="n">
        <v>6</v>
      </c>
      <c r="D56" s="8" t="inlineStr">
        <is>
          <t>Jun</t>
        </is>
      </c>
      <c r="E56" s="8" t="n">
        <v>150858</v>
      </c>
      <c r="F56" s="8" t="n">
        <v>5.1</v>
      </c>
      <c r="G56" s="8" t="n">
        <v>5.41</v>
      </c>
      <c r="H56" s="8" t="n">
        <v>141944</v>
      </c>
    </row>
    <row r="57">
      <c r="A57" s="9" t="n">
        <v>43647</v>
      </c>
      <c r="B57" s="7" t="n">
        <v>2019</v>
      </c>
      <c r="C57" s="7" t="n">
        <v>7</v>
      </c>
      <c r="D57" s="7" t="inlineStr">
        <is>
          <t>Jul</t>
        </is>
      </c>
      <c r="E57" s="7" t="n">
        <v>154690</v>
      </c>
      <c r="F57" s="7" t="n">
        <v>7.29</v>
      </c>
      <c r="G57" s="7" t="n">
        <v>2.54</v>
      </c>
      <c r="H57" s="7" t="n">
        <v>142819</v>
      </c>
    </row>
    <row r="58">
      <c r="A58" s="10" t="n">
        <v>43678</v>
      </c>
      <c r="B58" s="8" t="n">
        <v>2019</v>
      </c>
      <c r="C58" s="8" t="n">
        <v>8</v>
      </c>
      <c r="D58" s="8" t="inlineStr">
        <is>
          <t>Aug</t>
        </is>
      </c>
      <c r="E58" s="8" t="n">
        <v>156187</v>
      </c>
      <c r="F58" s="8" t="n">
        <v>7.5</v>
      </c>
      <c r="G58" s="8" t="n">
        <v>0.97</v>
      </c>
      <c r="H58" s="8" t="n">
        <v>143727</v>
      </c>
    </row>
    <row r="59">
      <c r="A59" s="9" t="n">
        <v>43709</v>
      </c>
      <c r="B59" s="7" t="n">
        <v>2019</v>
      </c>
      <c r="C59" s="7" t="n">
        <v>9</v>
      </c>
      <c r="D59" s="7" t="inlineStr">
        <is>
          <t>Sep</t>
        </is>
      </c>
      <c r="E59" s="7" t="n">
        <v>150165</v>
      </c>
      <c r="F59" s="7" t="n">
        <v>5.79</v>
      </c>
      <c r="G59" s="7" t="n">
        <v>-3.86</v>
      </c>
      <c r="H59" s="7" t="n">
        <v>144412</v>
      </c>
    </row>
    <row r="60">
      <c r="A60" s="10" t="n">
        <v>43739</v>
      </c>
      <c r="B60" s="8" t="n">
        <v>2019</v>
      </c>
      <c r="C60" s="8" t="n">
        <v>10</v>
      </c>
      <c r="D60" s="8" t="inlineStr">
        <is>
          <t>Oct</t>
        </is>
      </c>
      <c r="E60" s="8" t="n">
        <v>154495</v>
      </c>
      <c r="F60" s="8" t="n">
        <v>4.88</v>
      </c>
      <c r="G60" s="8" t="n">
        <v>2.88</v>
      </c>
      <c r="H60" s="8" t="n">
        <v>145011</v>
      </c>
    </row>
    <row r="61">
      <c r="A61" s="9" t="n">
        <v>43770</v>
      </c>
      <c r="B61" s="7" t="n">
        <v>2019</v>
      </c>
      <c r="C61" s="7" t="n">
        <v>11</v>
      </c>
      <c r="D61" s="7" t="inlineStr">
        <is>
          <t>Nov</t>
        </is>
      </c>
      <c r="E61" s="7" t="n">
        <v>154823</v>
      </c>
      <c r="F61" s="7" t="n">
        <v>6.1</v>
      </c>
      <c r="G61" s="7" t="n">
        <v>0.21</v>
      </c>
      <c r="H61" s="7" t="n">
        <v>145754</v>
      </c>
    </row>
    <row r="62">
      <c r="A62" s="10" t="n">
        <v>43800</v>
      </c>
      <c r="B62" s="8" t="n">
        <v>2019</v>
      </c>
      <c r="C62" s="8" t="n">
        <v>12</v>
      </c>
      <c r="D62" s="8" t="inlineStr">
        <is>
          <t>Dec</t>
        </is>
      </c>
      <c r="E62" s="8" t="n">
        <v>149167</v>
      </c>
      <c r="F62" s="8" t="n">
        <v>3.45</v>
      </c>
      <c r="G62" s="8" t="n">
        <v>-3.65</v>
      </c>
      <c r="H62" s="8" t="n">
        <v>146168</v>
      </c>
    </row>
    <row r="63">
      <c r="A63" s="9" t="n">
        <v>43831</v>
      </c>
      <c r="B63" s="7" t="n">
        <v>2020</v>
      </c>
      <c r="C63" s="7" t="n">
        <v>1</v>
      </c>
      <c r="D63" s="7" t="inlineStr">
        <is>
          <t>Jan</t>
        </is>
      </c>
      <c r="E63" s="7" t="n">
        <v>134066</v>
      </c>
      <c r="F63" s="7" t="n">
        <v>1.24</v>
      </c>
      <c r="G63" s="7" t="n">
        <v>-10.12</v>
      </c>
      <c r="H63" s="7" t="n">
        <v>146305</v>
      </c>
    </row>
    <row r="64">
      <c r="A64" s="10" t="n">
        <v>43862</v>
      </c>
      <c r="B64" s="8" t="n">
        <v>2020</v>
      </c>
      <c r="C64" s="8" t="n">
        <v>2</v>
      </c>
      <c r="D64" s="8" t="inlineStr">
        <is>
          <t>Feb</t>
        </is>
      </c>
      <c r="E64" s="8" t="n">
        <v>138833</v>
      </c>
      <c r="F64" s="8" t="n">
        <v>9.84</v>
      </c>
      <c r="G64" s="8" t="n">
        <v>3.56</v>
      </c>
      <c r="H64" s="8" t="n">
        <v>147342</v>
      </c>
    </row>
    <row r="65">
      <c r="A65" s="9" t="n">
        <v>43891</v>
      </c>
      <c r="B65" s="7" t="n">
        <v>2020</v>
      </c>
      <c r="C65" s="7" t="n">
        <v>3</v>
      </c>
      <c r="D65" s="7" t="inlineStr">
        <is>
          <t>Mar</t>
        </is>
      </c>
      <c r="E65" s="7" t="n">
        <v>139635</v>
      </c>
      <c r="F65" s="7" t="n">
        <v>-0.78</v>
      </c>
      <c r="G65" s="7" t="n">
        <v>0.58</v>
      </c>
      <c r="H65" s="7" t="n">
        <v>147251</v>
      </c>
    </row>
    <row r="66">
      <c r="A66" s="10" t="n">
        <v>43922</v>
      </c>
      <c r="B66" s="8" t="n">
        <v>2020</v>
      </c>
      <c r="C66" s="8" t="n">
        <v>4</v>
      </c>
      <c r="D66" s="8" t="inlineStr">
        <is>
          <t>Apr</t>
        </is>
      </c>
      <c r="E66" s="8" t="n">
        <v>120676</v>
      </c>
      <c r="F66" s="8" t="n">
        <v>-14.4</v>
      </c>
      <c r="G66" s="8" t="n">
        <v>-13.58</v>
      </c>
      <c r="H66" s="8" t="n">
        <v>145559</v>
      </c>
    </row>
    <row r="67">
      <c r="A67" s="9" t="n">
        <v>43952</v>
      </c>
      <c r="B67" s="7" t="n">
        <v>2020</v>
      </c>
      <c r="C67" s="7" t="n">
        <v>5</v>
      </c>
      <c r="D67" s="7" t="inlineStr">
        <is>
          <t>May</t>
        </is>
      </c>
      <c r="E67" s="7" t="n">
        <v>125161</v>
      </c>
      <c r="F67" s="7" t="n">
        <v>-12.54</v>
      </c>
      <c r="G67" s="7" t="n">
        <v>3.72</v>
      </c>
      <c r="H67" s="7" t="n">
        <v>144063</v>
      </c>
    </row>
    <row r="68">
      <c r="A68" s="10" t="n">
        <v>43983</v>
      </c>
      <c r="B68" s="8" t="n">
        <v>2020</v>
      </c>
      <c r="C68" s="8" t="n">
        <v>6</v>
      </c>
      <c r="D68" s="8" t="inlineStr">
        <is>
          <t>Jun</t>
        </is>
      </c>
      <c r="E68" s="8" t="n">
        <v>141553</v>
      </c>
      <c r="F68" s="8" t="n">
        <v>-6.17</v>
      </c>
      <c r="G68" s="8" t="n">
        <v>13.1</v>
      </c>
      <c r="H68" s="8" t="n">
        <v>143288</v>
      </c>
    </row>
    <row r="69">
      <c r="A69" s="9" t="n">
        <v>44013</v>
      </c>
      <c r="B69" s="7" t="n">
        <v>2020</v>
      </c>
      <c r="C69" s="7" t="n">
        <v>7</v>
      </c>
      <c r="D69" s="7" t="inlineStr">
        <is>
          <t>Jul</t>
        </is>
      </c>
      <c r="E69" s="7" t="n">
        <v>155071</v>
      </c>
      <c r="F69" s="7" t="n">
        <v>0.25</v>
      </c>
      <c r="G69" s="7" t="n">
        <v>9.550000000000001</v>
      </c>
      <c r="H69" s="7" t="n">
        <v>143319</v>
      </c>
    </row>
    <row r="70">
      <c r="A70" s="10" t="n">
        <v>44044</v>
      </c>
      <c r="B70" s="8" t="n">
        <v>2020</v>
      </c>
      <c r="C70" s="8" t="n">
        <v>8</v>
      </c>
      <c r="D70" s="8" t="inlineStr">
        <is>
          <t>Aug</t>
        </is>
      </c>
      <c r="E70" s="8" t="n">
        <v>161856</v>
      </c>
      <c r="F70" s="8" t="n">
        <v>3.63</v>
      </c>
      <c r="G70" s="8" t="n">
        <v>4.38</v>
      </c>
      <c r="H70" s="8" t="n">
        <v>143792</v>
      </c>
    </row>
    <row r="71">
      <c r="A71" s="9" t="n">
        <v>44075</v>
      </c>
      <c r="B71" s="7" t="n">
        <v>2020</v>
      </c>
      <c r="C71" s="7" t="n">
        <v>9</v>
      </c>
      <c r="D71" s="7" t="inlineStr">
        <is>
          <t>Sep</t>
        </is>
      </c>
      <c r="E71" s="7" t="n">
        <v>160913</v>
      </c>
      <c r="F71" s="7" t="n">
        <v>7.16</v>
      </c>
      <c r="G71" s="7" t="n">
        <v>-0.58</v>
      </c>
      <c r="H71" s="7" t="n">
        <v>144687</v>
      </c>
    </row>
    <row r="72">
      <c r="A72" s="10" t="n">
        <v>44105</v>
      </c>
      <c r="B72" s="8" t="n">
        <v>2020</v>
      </c>
      <c r="C72" s="8" t="n">
        <v>10</v>
      </c>
      <c r="D72" s="8" t="inlineStr">
        <is>
          <t>Oct</t>
        </is>
      </c>
      <c r="E72" s="8" t="n">
        <v>158328</v>
      </c>
      <c r="F72" s="8" t="n">
        <v>2.48</v>
      </c>
      <c r="G72" s="8" t="n">
        <v>-1.61</v>
      </c>
      <c r="H72" s="8" t="n">
        <v>145007</v>
      </c>
    </row>
    <row r="73">
      <c r="A73" s="9" t="n">
        <v>44136</v>
      </c>
      <c r="B73" s="7" t="n">
        <v>2020</v>
      </c>
      <c r="C73" s="7" t="n">
        <v>11</v>
      </c>
      <c r="D73" s="7" t="inlineStr">
        <is>
          <t>Nov</t>
        </is>
      </c>
      <c r="E73" s="7" t="n">
        <v>160303</v>
      </c>
      <c r="F73" s="7" t="n">
        <v>3.54</v>
      </c>
      <c r="G73" s="7" t="n">
        <v>1.25</v>
      </c>
      <c r="H73" s="7" t="n">
        <v>145464</v>
      </c>
    </row>
    <row r="74">
      <c r="A74" s="10" t="n">
        <v>44166</v>
      </c>
      <c r="B74" s="8" t="n">
        <v>2020</v>
      </c>
      <c r="C74" s="8" t="n">
        <v>12</v>
      </c>
      <c r="D74" s="8" t="inlineStr">
        <is>
          <t>Dec</t>
        </is>
      </c>
      <c r="E74" s="8" t="n">
        <v>157043</v>
      </c>
      <c r="F74" s="8" t="n">
        <v>5.28</v>
      </c>
      <c r="G74" s="8" t="n">
        <v>-2.03</v>
      </c>
      <c r="H74" s="8" t="n">
        <v>146120</v>
      </c>
    </row>
    <row r="75">
      <c r="A75" s="9" t="n">
        <v>44197</v>
      </c>
      <c r="B75" s="7" t="n">
        <v>2021</v>
      </c>
      <c r="C75" s="7" t="n">
        <v>1</v>
      </c>
      <c r="D75" s="7" t="inlineStr">
        <is>
          <t>Jan</t>
        </is>
      </c>
      <c r="E75" s="7" t="n">
        <v>141406</v>
      </c>
      <c r="F75" s="7" t="n">
        <v>5.47</v>
      </c>
      <c r="G75" s="7" t="n">
        <v>-9.960000000000001</v>
      </c>
      <c r="H75" s="7" t="n">
        <v>146732</v>
      </c>
    </row>
    <row r="76">
      <c r="A76" s="10" t="n">
        <v>44228</v>
      </c>
      <c r="B76" s="8" t="n">
        <v>2021</v>
      </c>
      <c r="C76" s="8" t="n">
        <v>2</v>
      </c>
      <c r="D76" s="8" t="inlineStr">
        <is>
          <t>Feb</t>
        </is>
      </c>
      <c r="E76" s="8" t="n">
        <v>152054</v>
      </c>
      <c r="F76" s="8" t="n">
        <v>9.52</v>
      </c>
      <c r="G76" s="8" t="n">
        <v>7.53</v>
      </c>
      <c r="H76" s="8" t="n">
        <v>147833</v>
      </c>
    </row>
    <row r="77">
      <c r="A77" s="9" t="n">
        <v>44256</v>
      </c>
      <c r="B77" s="7" t="n">
        <v>2021</v>
      </c>
      <c r="C77" s="7" t="n">
        <v>3</v>
      </c>
      <c r="D77" s="7" t="inlineStr">
        <is>
          <t>Mar</t>
        </is>
      </c>
      <c r="E77" s="7" t="n">
        <v>138169</v>
      </c>
      <c r="F77" s="7" t="n">
        <v>-1.05</v>
      </c>
      <c r="G77" s="7" t="n">
        <v>-9.130000000000001</v>
      </c>
      <c r="H77" s="7" t="n">
        <v>147711</v>
      </c>
    </row>
    <row r="78">
      <c r="A78" s="10" t="n">
        <v>44287</v>
      </c>
      <c r="B78" s="8" t="n">
        <v>2021</v>
      </c>
      <c r="C78" s="8" t="n">
        <v>4</v>
      </c>
      <c r="D78" s="8" t="inlineStr">
        <is>
          <t>Apr</t>
        </is>
      </c>
      <c r="E78" s="8" t="n">
        <v>157102</v>
      </c>
      <c r="F78" s="8" t="n">
        <v>30.18</v>
      </c>
      <c r="G78" s="8" t="n">
        <v>13.7</v>
      </c>
      <c r="H78" s="8" t="n">
        <v>150747</v>
      </c>
    </row>
    <row r="79">
      <c r="A79" s="9" t="n">
        <v>44317</v>
      </c>
      <c r="B79" s="7" t="n">
        <v>2021</v>
      </c>
      <c r="C79" s="7" t="n">
        <v>5</v>
      </c>
      <c r="D79" s="7" t="inlineStr">
        <is>
          <t>May</t>
        </is>
      </c>
      <c r="E79" s="7" t="n">
        <v>157240</v>
      </c>
      <c r="F79" s="7" t="n">
        <v>25.63</v>
      </c>
      <c r="G79" s="7" t="n">
        <v>0.09</v>
      </c>
      <c r="H79" s="7" t="n">
        <v>153420</v>
      </c>
    </row>
    <row r="80">
      <c r="A80" s="10" t="n">
        <v>44348</v>
      </c>
      <c r="B80" s="8" t="n">
        <v>2021</v>
      </c>
      <c r="C80" s="8" t="n">
        <v>6</v>
      </c>
      <c r="D80" s="8" t="inlineStr">
        <is>
          <t>Jun</t>
        </is>
      </c>
      <c r="E80" s="8" t="n">
        <v>157449</v>
      </c>
      <c r="F80" s="8" t="n">
        <v>11.23</v>
      </c>
      <c r="G80" s="8" t="n">
        <v>0.13</v>
      </c>
      <c r="H80" s="8" t="n">
        <v>154744</v>
      </c>
    </row>
    <row r="81">
      <c r="A81" s="9" t="n">
        <v>44378</v>
      </c>
      <c r="B81" s="7" t="n">
        <v>2021</v>
      </c>
      <c r="C81" s="7" t="n">
        <v>7</v>
      </c>
      <c r="D81" s="7" t="inlineStr">
        <is>
          <t>Jul</t>
        </is>
      </c>
      <c r="E81" s="7" t="n">
        <v>161152</v>
      </c>
      <c r="F81" s="7" t="n">
        <v>3.92</v>
      </c>
      <c r="G81" s="7" t="n">
        <v>2.35</v>
      </c>
      <c r="H81" s="7" t="n">
        <v>155251</v>
      </c>
    </row>
    <row r="82">
      <c r="A82" s="10" t="n">
        <v>44409</v>
      </c>
      <c r="B82" s="8" t="n">
        <v>2021</v>
      </c>
      <c r="C82" s="8" t="n">
        <v>8</v>
      </c>
      <c r="D82" s="8" t="inlineStr">
        <is>
          <t>Aug</t>
        </is>
      </c>
      <c r="E82" s="8" t="n">
        <v>153741</v>
      </c>
      <c r="F82" s="8" t="n">
        <v>-5.01</v>
      </c>
      <c r="G82" s="8" t="n">
        <v>-4.6</v>
      </c>
      <c r="H82" s="8" t="n">
        <v>154575</v>
      </c>
    </row>
    <row r="83">
      <c r="A83" s="9" t="n">
        <v>44440</v>
      </c>
      <c r="B83" s="7" t="n">
        <v>2021</v>
      </c>
      <c r="C83" s="7" t="n">
        <v>9</v>
      </c>
      <c r="D83" s="7" t="inlineStr">
        <is>
          <t>Sep</t>
        </is>
      </c>
      <c r="E83" s="7" t="n">
        <v>163642</v>
      </c>
      <c r="F83" s="7" t="n">
        <v>1.7</v>
      </c>
      <c r="G83" s="7" t="n">
        <v>6.44</v>
      </c>
      <c r="H83" s="7" t="n">
        <v>154802</v>
      </c>
    </row>
    <row r="84">
      <c r="A84" s="10" t="n">
        <v>44470</v>
      </c>
      <c r="B84" s="8" t="n">
        <v>2021</v>
      </c>
      <c r="C84" s="8" t="n">
        <v>10</v>
      </c>
      <c r="D84" s="8" t="inlineStr">
        <is>
          <t>Oct</t>
        </is>
      </c>
      <c r="E84" s="8" t="n">
        <v>168183</v>
      </c>
      <c r="F84" s="8" t="n">
        <v>6.22</v>
      </c>
      <c r="G84" s="8" t="n">
        <v>2.77</v>
      </c>
      <c r="H84" s="8" t="n">
        <v>155624</v>
      </c>
    </row>
    <row r="85">
      <c r="A85" s="9" t="n">
        <v>44501</v>
      </c>
      <c r="B85" s="7" t="n">
        <v>2021</v>
      </c>
      <c r="C85" s="7" t="n">
        <v>11</v>
      </c>
      <c r="D85" s="7" t="inlineStr">
        <is>
          <t>Nov</t>
        </is>
      </c>
      <c r="E85" s="7" t="n">
        <v>170672</v>
      </c>
      <c r="F85" s="7" t="n">
        <v>6.47</v>
      </c>
      <c r="G85" s="7" t="n">
        <v>1.48</v>
      </c>
      <c r="H85" s="7" t="n">
        <v>156488</v>
      </c>
    </row>
    <row r="86">
      <c r="A86" s="10" t="n">
        <v>44531</v>
      </c>
      <c r="B86" s="8" t="n">
        <v>2021</v>
      </c>
      <c r="C86" s="8" t="n">
        <v>12</v>
      </c>
      <c r="D86" s="8" t="inlineStr">
        <is>
          <t>Dec</t>
        </is>
      </c>
      <c r="E86" s="8" t="n">
        <v>153134</v>
      </c>
      <c r="F86" s="8" t="n">
        <v>-2.49</v>
      </c>
      <c r="G86" s="8" t="n">
        <v>-10.28</v>
      </c>
      <c r="H86" s="8" t="n">
        <v>156162</v>
      </c>
    </row>
    <row r="87">
      <c r="A87" s="9" t="n">
        <v>44562</v>
      </c>
      <c r="B87" s="7" t="n">
        <v>2022</v>
      </c>
      <c r="C87" s="7" t="n">
        <v>1</v>
      </c>
      <c r="D87" s="7" t="inlineStr">
        <is>
          <t>Jan</t>
        </is>
      </c>
      <c r="E87" s="7" t="n">
        <v>143274</v>
      </c>
      <c r="F87" s="7" t="n">
        <v>1.32</v>
      </c>
      <c r="G87" s="7" t="n">
        <v>-6.44</v>
      </c>
      <c r="H87" s="7" t="n">
        <v>156318</v>
      </c>
    </row>
    <row r="88">
      <c r="A88" s="10" t="n">
        <v>44593</v>
      </c>
      <c r="B88" s="8" t="n">
        <v>2022</v>
      </c>
      <c r="C88" s="8" t="n">
        <v>2</v>
      </c>
      <c r="D88" s="8" t="inlineStr">
        <is>
          <t>Feb</t>
        </is>
      </c>
      <c r="E88" s="8" t="n">
        <v>148099</v>
      </c>
      <c r="F88" s="8" t="n">
        <v>-2.6</v>
      </c>
      <c r="G88" s="8" t="n">
        <v>3.37</v>
      </c>
      <c r="H88" s="8" t="n">
        <v>155988</v>
      </c>
    </row>
    <row r="89">
      <c r="A89" s="9" t="n">
        <v>44621</v>
      </c>
      <c r="B89" s="7" t="n">
        <v>2022</v>
      </c>
      <c r="C89" s="7" t="n">
        <v>3</v>
      </c>
      <c r="D89" s="7" t="inlineStr">
        <is>
          <t>Mar</t>
        </is>
      </c>
      <c r="E89" s="7" t="n">
        <v>159422</v>
      </c>
      <c r="F89" s="7" t="n">
        <v>15.38</v>
      </c>
      <c r="G89" s="7" t="n">
        <v>7.65</v>
      </c>
      <c r="H89" s="7" t="n">
        <v>157759</v>
      </c>
    </row>
    <row r="90">
      <c r="A90" s="10" t="n">
        <v>44652</v>
      </c>
      <c r="B90" s="8" t="n">
        <v>2022</v>
      </c>
      <c r="C90" s="8" t="n">
        <v>4</v>
      </c>
      <c r="D90" s="8" t="inlineStr">
        <is>
          <t>Apr</t>
        </is>
      </c>
      <c r="E90" s="8" t="n">
        <v>160227</v>
      </c>
      <c r="F90" s="8" t="n">
        <v>1.99</v>
      </c>
      <c r="G90" s="8" t="n">
        <v>0.5</v>
      </c>
      <c r="H90" s="8" t="n">
        <v>158020</v>
      </c>
    </row>
    <row r="91">
      <c r="A91" s="9" t="n">
        <v>44682</v>
      </c>
      <c r="B91" s="7" t="n">
        <v>2022</v>
      </c>
      <c r="C91" s="7" t="n">
        <v>5</v>
      </c>
      <c r="D91" s="7" t="inlineStr">
        <is>
          <t>May</t>
        </is>
      </c>
      <c r="E91" s="7" t="n">
        <v>159809</v>
      </c>
      <c r="F91" s="7" t="n">
        <v>1.63</v>
      </c>
      <c r="G91" s="7" t="n">
        <v>-0.26</v>
      </c>
      <c r="H91" s="7" t="n">
        <v>158234</v>
      </c>
    </row>
    <row r="92">
      <c r="A92" s="10" t="n">
        <v>44713</v>
      </c>
      <c r="B92" s="8" t="n">
        <v>2022</v>
      </c>
      <c r="C92" s="8" t="n">
        <v>6</v>
      </c>
      <c r="D92" s="8" t="inlineStr">
        <is>
          <t>Jun</t>
        </is>
      </c>
      <c r="E92" s="8" t="n">
        <v>166448</v>
      </c>
      <c r="F92" s="8" t="n">
        <v>5.72</v>
      </c>
      <c r="G92" s="8" t="n">
        <v>4.15</v>
      </c>
      <c r="H92" s="8" t="n">
        <v>158984</v>
      </c>
    </row>
    <row r="93">
      <c r="A93" s="9" t="n">
        <v>44743</v>
      </c>
      <c r="B93" s="7" t="n">
        <v>2022</v>
      </c>
      <c r="C93" s="7" t="n">
        <v>7</v>
      </c>
      <c r="D93" s="7" t="inlineStr">
        <is>
          <t>Jul</t>
        </is>
      </c>
      <c r="E93" s="7" t="n">
        <v>166521</v>
      </c>
      <c r="F93" s="7" t="n">
        <v>3.33</v>
      </c>
      <c r="G93" s="7" t="n">
        <v>0.04</v>
      </c>
      <c r="H93" s="7" t="n">
        <v>159431</v>
      </c>
    </row>
    <row r="94">
      <c r="A94" s="10" t="n">
        <v>44774</v>
      </c>
      <c r="B94" s="8" t="n">
        <v>2022</v>
      </c>
      <c r="C94" s="8" t="n">
        <v>8</v>
      </c>
      <c r="D94" s="8" t="inlineStr">
        <is>
          <t>Aug</t>
        </is>
      </c>
      <c r="E94" s="8" t="n">
        <v>172388</v>
      </c>
      <c r="F94" s="8" t="n">
        <v>12.13</v>
      </c>
      <c r="G94" s="8" t="n">
        <v>3.52</v>
      </c>
      <c r="H94" s="8" t="n">
        <v>160985</v>
      </c>
    </row>
    <row r="95">
      <c r="A95" s="9" t="n">
        <v>44805</v>
      </c>
      <c r="B95" s="7" t="n">
        <v>2022</v>
      </c>
      <c r="C95" s="7" t="n">
        <v>9</v>
      </c>
      <c r="D95" s="7" t="inlineStr">
        <is>
          <t>Sep</t>
        </is>
      </c>
      <c r="E95" s="7" t="n">
        <v>166816</v>
      </c>
      <c r="F95" s="7" t="n">
        <v>1.94</v>
      </c>
      <c r="G95" s="7" t="n">
        <v>-3.23</v>
      </c>
      <c r="H95" s="7" t="n">
        <v>161249</v>
      </c>
    </row>
    <row r="96">
      <c r="A96" s="10" t="n">
        <v>44835</v>
      </c>
      <c r="B96" s="8" t="n">
        <v>2022</v>
      </c>
      <c r="C96" s="8" t="n">
        <v>10</v>
      </c>
      <c r="D96" s="8" t="inlineStr">
        <is>
          <t>Oct</t>
        </is>
      </c>
      <c r="E96" s="8" t="n">
        <v>170446</v>
      </c>
      <c r="F96" s="8" t="n">
        <v>1.35</v>
      </c>
      <c r="G96" s="8" t="n">
        <v>2.18</v>
      </c>
      <c r="H96" s="8" t="n">
        <v>161438</v>
      </c>
    </row>
    <row r="97">
      <c r="A97" s="9" t="n">
        <v>44866</v>
      </c>
      <c r="B97" s="7" t="n">
        <v>2022</v>
      </c>
      <c r="C97" s="7" t="n">
        <v>11</v>
      </c>
      <c r="D97" s="7" t="inlineStr">
        <is>
          <t>Nov</t>
        </is>
      </c>
      <c r="E97" s="7" t="n">
        <v>167601</v>
      </c>
      <c r="F97" s="7" t="n">
        <v>-1.8</v>
      </c>
      <c r="G97" s="7" t="n">
        <v>-1.67</v>
      </c>
      <c r="H97" s="7" t="n">
        <v>161182</v>
      </c>
    </row>
    <row r="98">
      <c r="A98" s="10" t="n">
        <v>44896</v>
      </c>
      <c r="B98" s="8" t="n">
        <v>2022</v>
      </c>
      <c r="C98" s="8" t="n">
        <v>12</v>
      </c>
      <c r="D98" s="8" t="inlineStr">
        <is>
          <t>Dec</t>
        </is>
      </c>
      <c r="E98" s="8" t="n">
        <v>154225</v>
      </c>
      <c r="F98" s="8" t="n">
        <v>0.71</v>
      </c>
      <c r="G98" s="8" t="n">
        <v>-7.98</v>
      </c>
      <c r="H98" s="8" t="n">
        <v>161273</v>
      </c>
    </row>
    <row r="99">
      <c r="A99" s="9" t="n">
        <v>44927</v>
      </c>
      <c r="B99" s="7" t="n">
        <v>2023</v>
      </c>
      <c r="C99" s="7" t="n">
        <v>1</v>
      </c>
      <c r="D99" s="7" t="inlineStr">
        <is>
          <t>Jan</t>
        </is>
      </c>
      <c r="E99" s="7" t="n">
        <v>153589</v>
      </c>
      <c r="F99" s="7" t="n">
        <v>7.2</v>
      </c>
      <c r="G99" s="7" t="n">
        <v>-0.41</v>
      </c>
      <c r="H99" s="7" t="n">
        <v>162133</v>
      </c>
    </row>
    <row r="100">
      <c r="A100" s="10" t="n">
        <v>44958</v>
      </c>
      <c r="B100" s="8" t="n">
        <v>2023</v>
      </c>
      <c r="C100" s="8" t="n">
        <v>2</v>
      </c>
      <c r="D100" s="8" t="inlineStr">
        <is>
          <t>Feb</t>
        </is>
      </c>
      <c r="E100" s="8" t="n">
        <v>156876</v>
      </c>
      <c r="F100" s="8" t="n">
        <v>5.93</v>
      </c>
      <c r="G100" s="8" t="n">
        <v>2.14</v>
      </c>
      <c r="H100" s="8" t="n">
        <v>162864</v>
      </c>
    </row>
    <row r="101">
      <c r="A101" s="9" t="n">
        <v>44986</v>
      </c>
      <c r="B101" s="7" t="n">
        <v>2023</v>
      </c>
      <c r="C101" s="7" t="n">
        <v>3</v>
      </c>
      <c r="D101" s="7" t="inlineStr">
        <is>
          <t>Mar</t>
        </is>
      </c>
      <c r="E101" s="7" t="n">
        <v>160670</v>
      </c>
      <c r="F101" s="7" t="n">
        <v>0.78</v>
      </c>
      <c r="G101" s="7" t="n">
        <v>2.42</v>
      </c>
      <c r="H101" s="7" t="n">
        <v>162968</v>
      </c>
    </row>
    <row r="102">
      <c r="A102" s="10" t="n">
        <v>45017</v>
      </c>
      <c r="B102" s="8" t="n">
        <v>2023</v>
      </c>
      <c r="C102" s="8" t="n">
        <v>4</v>
      </c>
      <c r="D102" s="8" t="inlineStr">
        <is>
          <t>Apr</t>
        </is>
      </c>
      <c r="E102" s="8" t="n">
        <v>163037</v>
      </c>
      <c r="F102" s="8" t="n">
        <v>1.75</v>
      </c>
      <c r="G102" s="8" t="n">
        <v>1.47</v>
      </c>
      <c r="H102" s="8" t="n">
        <v>163202</v>
      </c>
    </row>
    <row r="103">
      <c r="A103" s="9" t="n">
        <v>45047</v>
      </c>
      <c r="B103" s="7" t="n">
        <v>2023</v>
      </c>
      <c r="C103" s="7" t="n">
        <v>5</v>
      </c>
      <c r="D103" s="7" t="inlineStr">
        <is>
          <t>May</t>
        </is>
      </c>
      <c r="E103" s="7" t="n">
        <v>161169</v>
      </c>
      <c r="F103" s="7" t="n">
        <v>0.85</v>
      </c>
      <c r="G103" s="7" t="n">
        <v>-1.15</v>
      </c>
      <c r="H103" s="7" t="n">
        <v>163316</v>
      </c>
    </row>
    <row r="104">
      <c r="A104" s="10" t="n">
        <v>45078</v>
      </c>
      <c r="B104" s="8" t="n">
        <v>2023</v>
      </c>
      <c r="C104" s="8" t="n">
        <v>6</v>
      </c>
      <c r="D104" s="8" t="inlineStr">
        <is>
          <t>Jun</t>
        </is>
      </c>
      <c r="E104" s="8" t="n">
        <v>167590</v>
      </c>
      <c r="F104" s="8" t="n">
        <v>0.6899999999999999</v>
      </c>
      <c r="G104" s="8" t="n">
        <v>3.98</v>
      </c>
      <c r="H104" s="8" t="n">
        <v>163411</v>
      </c>
    </row>
    <row r="105">
      <c r="A105" s="9" t="n">
        <v>45108</v>
      </c>
      <c r="B105" s="7" t="n">
        <v>2023</v>
      </c>
      <c r="C105" s="7" t="n">
        <v>7</v>
      </c>
      <c r="D105" s="7" t="inlineStr">
        <is>
          <t>Jul</t>
        </is>
      </c>
      <c r="E105" s="7" t="n">
        <v>169886</v>
      </c>
      <c r="F105" s="7" t="n">
        <v>2.02</v>
      </c>
      <c r="G105" s="7" t="n">
        <v>1.37</v>
      </c>
      <c r="H105" s="7" t="n">
        <v>163691</v>
      </c>
    </row>
    <row r="106">
      <c r="A106" s="10" t="n">
        <v>45139</v>
      </c>
      <c r="B106" s="8" t="n">
        <v>2023</v>
      </c>
      <c r="C106" s="8" t="n">
        <v>8</v>
      </c>
      <c r="D106" s="8" t="inlineStr">
        <is>
          <t>Aug</t>
        </is>
      </c>
      <c r="E106" s="8" t="n">
        <v>169764</v>
      </c>
      <c r="F106" s="8" t="n">
        <v>-1.52</v>
      </c>
      <c r="G106" s="8" t="n">
        <v>-0.07000000000000001</v>
      </c>
      <c r="H106" s="8" t="n">
        <v>163472</v>
      </c>
    </row>
    <row r="107">
      <c r="A107" s="9" t="n">
        <v>45170</v>
      </c>
      <c r="B107" s="7" t="n">
        <v>2023</v>
      </c>
      <c r="C107" s="7" t="n">
        <v>9</v>
      </c>
      <c r="D107" s="7" t="inlineStr">
        <is>
          <t>Sep</t>
        </is>
      </c>
      <c r="E107" s="7" t="n">
        <v>174594</v>
      </c>
      <c r="F107" s="7" t="n">
        <v>4.66</v>
      </c>
      <c r="G107" s="7" t="n">
        <v>2.85</v>
      </c>
      <c r="H107" s="7" t="n">
        <v>164121</v>
      </c>
    </row>
    <row r="108">
      <c r="A108" s="10" t="n">
        <v>45200</v>
      </c>
      <c r="B108" s="8" t="n">
        <v>2023</v>
      </c>
      <c r="C108" s="8" t="n">
        <v>10</v>
      </c>
      <c r="D108" s="8" t="inlineStr">
        <is>
          <t>Oct</t>
        </is>
      </c>
      <c r="E108" s="8" t="n">
        <v>179083</v>
      </c>
      <c r="F108" s="8" t="n">
        <v>5.07</v>
      </c>
      <c r="G108" s="8" t="n">
        <v>2.57</v>
      </c>
      <c r="H108" s="8" t="n">
        <v>164840</v>
      </c>
    </row>
    <row r="109">
      <c r="A109" s="9" t="n">
        <v>45231</v>
      </c>
      <c r="B109" s="7" t="n">
        <v>2023</v>
      </c>
      <c r="C109" s="7" t="n">
        <v>11</v>
      </c>
      <c r="D109" s="7" t="inlineStr">
        <is>
          <t>Nov</t>
        </is>
      </c>
      <c r="E109" s="7" t="n">
        <v>183198</v>
      </c>
      <c r="F109" s="7" t="n">
        <v>9.31</v>
      </c>
      <c r="G109" s="7" t="n">
        <v>2.3</v>
      </c>
      <c r="H109" s="7" t="n">
        <v>166140</v>
      </c>
    </row>
    <row r="110">
      <c r="A110" s="10" t="n">
        <v>45261</v>
      </c>
      <c r="B110" s="8" t="n">
        <v>2023</v>
      </c>
      <c r="C110" s="8" t="n">
        <v>12</v>
      </c>
      <c r="D110" s="8" t="inlineStr">
        <is>
          <t>Dec</t>
        </is>
      </c>
      <c r="E110" s="8" t="n">
        <v>166941</v>
      </c>
      <c r="F110" s="8" t="n">
        <v>8.25</v>
      </c>
      <c r="G110" s="8" t="n">
        <v>-8.869999999999999</v>
      </c>
      <c r="H110" s="8" t="n">
        <v>167200</v>
      </c>
    </row>
    <row r="111">
      <c r="A111" s="9" t="n">
        <v>45292</v>
      </c>
      <c r="B111" s="7" t="n">
        <v>2024</v>
      </c>
      <c r="C111" s="7" t="n">
        <v>1</v>
      </c>
      <c r="D111" s="7" t="inlineStr">
        <is>
          <t>Jan</t>
        </is>
      </c>
      <c r="E111" s="7" t="n">
        <v>158760</v>
      </c>
      <c r="F111" s="7" t="n">
        <v>3.37</v>
      </c>
      <c r="G111" s="7" t="n">
        <v>-4.9</v>
      </c>
      <c r="H111" s="7" t="n">
        <v>167631</v>
      </c>
    </row>
    <row r="112">
      <c r="A112" s="10" t="n">
        <v>45323</v>
      </c>
      <c r="B112" s="8" t="n">
        <v>2024</v>
      </c>
      <c r="C112" s="8" t="n">
        <v>2</v>
      </c>
      <c r="D112" s="8" t="inlineStr">
        <is>
          <t>Feb</t>
        </is>
      </c>
      <c r="E112" s="8" t="n">
        <v>160711</v>
      </c>
      <c r="F112" s="8" t="n">
        <v>2.44</v>
      </c>
      <c r="G112" s="8" t="n">
        <v>1.23</v>
      </c>
      <c r="H112" s="8" t="n">
        <v>167950</v>
      </c>
    </row>
    <row r="113">
      <c r="A113" s="9" t="n">
        <v>45352</v>
      </c>
      <c r="B113" s="7" t="n">
        <v>2024</v>
      </c>
      <c r="C113" s="7" t="n">
        <v>3</v>
      </c>
      <c r="D113" s="7" t="inlineStr">
        <is>
          <t>Mar</t>
        </is>
      </c>
      <c r="E113" s="7" t="n">
        <v>157357</v>
      </c>
      <c r="F113" s="7" t="n">
        <v>-2.06</v>
      </c>
      <c r="G113" s="7" t="n">
        <v>-2.09</v>
      </c>
      <c r="H113" s="7" t="n">
        <v>167674</v>
      </c>
    </row>
    <row r="114">
      <c r="A114" s="10" t="n">
        <v>45383</v>
      </c>
      <c r="B114" s="8" t="n">
        <v>2024</v>
      </c>
      <c r="C114" s="8" t="n">
        <v>4</v>
      </c>
      <c r="D114" s="8" t="inlineStr">
        <is>
          <t>Apr</t>
        </is>
      </c>
      <c r="E114" s="8" t="n">
        <v>169318</v>
      </c>
      <c r="F114" s="8" t="n">
        <v>3.85</v>
      </c>
      <c r="G114" s="8" t="n">
        <v>7.6</v>
      </c>
      <c r="H114" s="8" t="n">
        <v>168198</v>
      </c>
    </row>
    <row r="115">
      <c r="A115" s="9" t="n">
        <v>45413</v>
      </c>
      <c r="B115" s="7" t="n">
        <v>2024</v>
      </c>
      <c r="C115" s="7" t="n">
        <v>5</v>
      </c>
      <c r="D115" s="7" t="inlineStr">
        <is>
          <t>May</t>
        </is>
      </c>
      <c r="E115" s="7" t="n">
        <v>173153</v>
      </c>
      <c r="F115" s="7" t="n">
        <v>7.44</v>
      </c>
      <c r="G115" s="7" t="n">
        <v>2.26</v>
      </c>
      <c r="H115" s="7" t="n">
        <v>169196</v>
      </c>
    </row>
    <row r="116">
      <c r="A116" s="10" t="n">
        <v>45444</v>
      </c>
      <c r="B116" s="8" t="n">
        <v>2024</v>
      </c>
      <c r="C116" s="8" t="n">
        <v>6</v>
      </c>
      <c r="D116" s="8" t="inlineStr">
        <is>
          <t>Jun</t>
        </is>
      </c>
      <c r="E116" s="8" t="n">
        <v>185912</v>
      </c>
      <c r="F116" s="8" t="n">
        <v>10.93</v>
      </c>
      <c r="G116" s="8" t="n">
        <v>7.37</v>
      </c>
      <c r="H116" s="8" t="n">
        <v>170723</v>
      </c>
    </row>
    <row r="117">
      <c r="A117" s="9" t="n">
        <v>45474</v>
      </c>
      <c r="B117" s="7" t="n">
        <v>2024</v>
      </c>
      <c r="C117" s="7" t="n">
        <v>7</v>
      </c>
      <c r="D117" s="7" t="inlineStr">
        <is>
          <t>Jul</t>
        </is>
      </c>
      <c r="E117" s="7" t="n">
        <v>175907</v>
      </c>
      <c r="F117" s="7" t="n">
        <v>3.54</v>
      </c>
      <c r="G117" s="7" t="n">
        <v>-5.38</v>
      </c>
      <c r="H117" s="7" t="n">
        <v>171225</v>
      </c>
    </row>
    <row r="118">
      <c r="A118" s="10" t="n">
        <v>45505</v>
      </c>
      <c r="B118" s="8" t="n">
        <v>2024</v>
      </c>
      <c r="C118" s="8" t="n">
        <v>8</v>
      </c>
      <c r="D118" s="8" t="inlineStr">
        <is>
          <t>Aug</t>
        </is>
      </c>
      <c r="E118" s="8" t="n">
        <v>180075</v>
      </c>
      <c r="F118" s="8" t="n">
        <v>6.07</v>
      </c>
      <c r="G118" s="8" t="n">
        <v>2.37</v>
      </c>
      <c r="H118" s="8" t="n">
        <v>172084</v>
      </c>
    </row>
    <row r="119">
      <c r="A119" s="9" t="n">
        <v>45536</v>
      </c>
      <c r="B119" s="7" t="n">
        <v>2024</v>
      </c>
      <c r="C119" s="7" t="n">
        <v>9</v>
      </c>
      <c r="D119" s="7" t="inlineStr">
        <is>
          <t>Sep</t>
        </is>
      </c>
      <c r="E119" s="7" t="n">
        <v>180508</v>
      </c>
      <c r="F119" s="7" t="n">
        <v>3.39</v>
      </c>
      <c r="G119" s="7" t="n">
        <v>0.24</v>
      </c>
      <c r="H119" s="7" t="n">
        <v>172577</v>
      </c>
    </row>
    <row r="120">
      <c r="A120" s="10" t="n">
        <v>45566</v>
      </c>
      <c r="B120" s="8" t="n">
        <v>2024</v>
      </c>
      <c r="C120" s="8" t="n">
        <v>10</v>
      </c>
      <c r="D120" s="8" t="inlineStr">
        <is>
          <t>Oct</t>
        </is>
      </c>
      <c r="E120" s="8" t="n">
        <v>177350</v>
      </c>
      <c r="F120" s="8" t="n">
        <v>-0.97</v>
      </c>
      <c r="G120" s="8" t="n">
        <v>-1.75</v>
      </c>
      <c r="H120" s="8" t="n">
        <v>172432</v>
      </c>
    </row>
    <row r="121">
      <c r="A121" s="9" t="n">
        <v>45597</v>
      </c>
      <c r="B121" s="7" t="n">
        <v>2024</v>
      </c>
      <c r="C121" s="7" t="n">
        <v>11</v>
      </c>
      <c r="D121" s="7" t="inlineStr">
        <is>
          <t>Nov</t>
        </is>
      </c>
      <c r="E121" s="7" t="n">
        <v>185197</v>
      </c>
      <c r="F121" s="7" t="n">
        <v>1.09</v>
      </c>
      <c r="G121" s="7" t="n">
        <v>4.42</v>
      </c>
      <c r="H121" s="7" t="n">
        <v>172599</v>
      </c>
    </row>
    <row r="122">
      <c r="A122" s="10" t="n">
        <v>45627</v>
      </c>
      <c r="B122" s="8" t="n">
        <v>2024</v>
      </c>
      <c r="C122" s="8" t="n">
        <v>12</v>
      </c>
      <c r="D122" s="8" t="inlineStr">
        <is>
          <t>Dec</t>
        </is>
      </c>
      <c r="E122" s="8" t="n">
        <v>174884</v>
      </c>
      <c r="F122" s="8" t="n">
        <v>4.76</v>
      </c>
      <c r="G122" s="8" t="n">
        <v>-5.57</v>
      </c>
      <c r="H122" s="8" t="n">
        <v>173261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2" customWidth="1" min="4" max="4"/>
    <col width="14" customWidth="1" min="5" max="5"/>
  </cols>
  <sheetData>
    <row r="1" ht="28" customHeight="1">
      <c r="A1" s="11" t="inlineStr">
        <is>
          <t>COVID-19 Impact — 2019 vs 2020 Monthly Comparison</t>
        </is>
      </c>
    </row>
    <row r="2">
      <c r="A2" s="12" t="inlineStr">
        <is>
          <t>Month</t>
        </is>
      </c>
      <c r="B2" s="12" t="inlineStr">
        <is>
          <t>Month Name</t>
        </is>
      </c>
      <c r="C2" s="12" t="inlineStr">
        <is>
          <t>Teu 2019</t>
        </is>
      </c>
      <c r="D2" s="12" t="inlineStr">
        <is>
          <t>Teu 2020</t>
        </is>
      </c>
      <c r="E2" s="12" t="inlineStr">
        <is>
          <t>Change Pct</t>
        </is>
      </c>
    </row>
    <row r="3">
      <c r="A3" s="7" t="n">
        <v>1</v>
      </c>
      <c r="B3" s="7" t="inlineStr">
        <is>
          <t>Jan</t>
        </is>
      </c>
      <c r="C3" s="7" t="n">
        <v>132424</v>
      </c>
      <c r="D3" s="7" t="n">
        <v>134066</v>
      </c>
      <c r="E3" s="7" t="n">
        <v>1.24</v>
      </c>
    </row>
    <row r="4">
      <c r="A4" s="8" t="n">
        <v>2</v>
      </c>
      <c r="B4" s="8" t="inlineStr">
        <is>
          <t>Feb</t>
        </is>
      </c>
      <c r="C4" s="8" t="n">
        <v>126390</v>
      </c>
      <c r="D4" s="8" t="n">
        <v>138833</v>
      </c>
      <c r="E4" s="8" t="n">
        <v>9.84</v>
      </c>
    </row>
    <row r="5">
      <c r="A5" s="7" t="n">
        <v>3</v>
      </c>
      <c r="B5" s="7" t="inlineStr">
        <is>
          <t>Mar</t>
        </is>
      </c>
      <c r="C5" s="7" t="n">
        <v>140727</v>
      </c>
      <c r="D5" s="7" t="n">
        <v>139635</v>
      </c>
      <c r="E5" s="7" t="n">
        <v>-0.78</v>
      </c>
    </row>
    <row r="6">
      <c r="A6" s="8" t="n">
        <v>4</v>
      </c>
      <c r="B6" s="8" t="inlineStr">
        <is>
          <t>Apr</t>
        </is>
      </c>
      <c r="C6" s="8" t="n">
        <v>140981</v>
      </c>
      <c r="D6" s="8" t="n">
        <v>120676</v>
      </c>
      <c r="E6" s="8" t="n">
        <v>-14.4</v>
      </c>
    </row>
    <row r="7">
      <c r="A7" s="7" t="n">
        <v>5</v>
      </c>
      <c r="B7" s="7" t="inlineStr">
        <is>
          <t>May</t>
        </is>
      </c>
      <c r="C7" s="7" t="n">
        <v>143114</v>
      </c>
      <c r="D7" s="7" t="n">
        <v>125161</v>
      </c>
      <c r="E7" s="7" t="n">
        <v>-12.54</v>
      </c>
    </row>
    <row r="8">
      <c r="A8" s="8" t="n">
        <v>6</v>
      </c>
      <c r="B8" s="8" t="inlineStr">
        <is>
          <t>Jun</t>
        </is>
      </c>
      <c r="C8" s="8" t="n">
        <v>150858</v>
      </c>
      <c r="D8" s="8" t="n">
        <v>141553</v>
      </c>
      <c r="E8" s="8" t="n">
        <v>-6.17</v>
      </c>
    </row>
    <row r="9">
      <c r="A9" s="7" t="n">
        <v>7</v>
      </c>
      <c r="B9" s="7" t="inlineStr">
        <is>
          <t>Jul</t>
        </is>
      </c>
      <c r="C9" s="7" t="n">
        <v>154690</v>
      </c>
      <c r="D9" s="7" t="n">
        <v>155071</v>
      </c>
      <c r="E9" s="7" t="n">
        <v>0.25</v>
      </c>
    </row>
    <row r="10">
      <c r="A10" s="8" t="n">
        <v>8</v>
      </c>
      <c r="B10" s="8" t="inlineStr">
        <is>
          <t>Aug</t>
        </is>
      </c>
      <c r="C10" s="8" t="n">
        <v>156187</v>
      </c>
      <c r="D10" s="8" t="n">
        <v>161856</v>
      </c>
      <c r="E10" s="8" t="n">
        <v>3.63</v>
      </c>
    </row>
    <row r="11">
      <c r="A11" s="7" t="n">
        <v>9</v>
      </c>
      <c r="B11" s="7" t="inlineStr">
        <is>
          <t>Sep</t>
        </is>
      </c>
      <c r="C11" s="7" t="n">
        <v>150165</v>
      </c>
      <c r="D11" s="7" t="n">
        <v>160913</v>
      </c>
      <c r="E11" s="7" t="n">
        <v>7.16</v>
      </c>
    </row>
    <row r="12">
      <c r="A12" s="8" t="n">
        <v>10</v>
      </c>
      <c r="B12" s="8" t="inlineStr">
        <is>
          <t>Oct</t>
        </is>
      </c>
      <c r="C12" s="8" t="n">
        <v>154495</v>
      </c>
      <c r="D12" s="8" t="n">
        <v>158328</v>
      </c>
      <c r="E12" s="8" t="n">
        <v>2.48</v>
      </c>
    </row>
    <row r="13">
      <c r="A13" s="7" t="n">
        <v>11</v>
      </c>
      <c r="B13" s="7" t="inlineStr">
        <is>
          <t>Nov</t>
        </is>
      </c>
      <c r="C13" s="7" t="n">
        <v>154823</v>
      </c>
      <c r="D13" s="7" t="n">
        <v>160303</v>
      </c>
      <c r="E13" s="7" t="n">
        <v>3.54</v>
      </c>
    </row>
    <row r="14">
      <c r="A14" s="8" t="n">
        <v>12</v>
      </c>
      <c r="B14" s="8" t="inlineStr">
        <is>
          <t>Dec</t>
        </is>
      </c>
      <c r="C14" s="8" t="n">
        <v>149167</v>
      </c>
      <c r="D14" s="8" t="n">
        <v>157043</v>
      </c>
      <c r="E14" s="8" t="n">
        <v>5.28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2026-06-26T14:11:02Z</dcterms:created>
  <dcterms:modified xsi:type="dcterms:W3CDTF">2026-06-26T14:11:03Z</dcterms:modified>
</cp:coreProperties>
</file>